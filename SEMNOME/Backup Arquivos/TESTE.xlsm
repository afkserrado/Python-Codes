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3bb0f48f97e1798/_APS/"/>
    </mc:Choice>
  </mc:AlternateContent>
  <xr:revisionPtr revIDLastSave="13940" documentId="13_ncr:1_{DC710400-DE23-49F7-AF22-6515C5CEA5B3}" xr6:coauthVersionLast="47" xr6:coauthVersionMax="47" xr10:uidLastSave="{E227072D-317B-47D2-98A2-6E6E6A883FEA}"/>
  <bookViews>
    <workbookView xWindow="22932" yWindow="-108" windowWidth="23256" windowHeight="12456" tabRatio="586" xr2:uid="{00000000-000D-0000-FFFF-FFFF00000000}"/>
  </bookViews>
  <sheets>
    <sheet name="SINTÉTICO" sheetId="1" r:id="rId1"/>
    <sheet name="CFF" sheetId="10" r:id="rId2"/>
    <sheet name="CFF (2)" sheetId="12" r:id="rId3"/>
    <sheet name="BDI" sheetId="6" r:id="rId4"/>
    <sheet name="ES" sheetId="9" r:id="rId5"/>
    <sheet name="CPUs" sheetId="2" r:id="rId6"/>
    <sheet name="AUXILIAR" sheetId="11" r:id="rId7"/>
  </sheets>
  <functionGroups builtInGroupCount="19"/>
  <definedNames>
    <definedName name="_xlnm._FilterDatabase" localSheetId="1" hidden="1">CFF!$A$5:$I$22</definedName>
    <definedName name="_xlnm._FilterDatabase" localSheetId="2" hidden="1">'CFF (2)'!$A$4:$K$34</definedName>
    <definedName name="_xlnm._FilterDatabase" localSheetId="5" hidden="1">CPUs!$A$5:$K$6</definedName>
    <definedName name="_xlnm._FilterDatabase" localSheetId="0" hidden="1">SINTÉTICO!$A$9:$T$10</definedName>
    <definedName name="_xlnm.Print_Area" localSheetId="6">AUXILIAR!$A$1:$K$58</definedName>
    <definedName name="_xlnm.Print_Area" localSheetId="3">BDI!$A$1:$D$37</definedName>
    <definedName name="_xlnm.Print_Area" localSheetId="1">CFF!$A$2:$S$37</definedName>
    <definedName name="_xlnm.Print_Area" localSheetId="2">'CFF (2)'!$A$1:$K$45</definedName>
    <definedName name="_xlnm.Print_Area" localSheetId="5">CPUs!$A$4:$J$17</definedName>
    <definedName name="_xlnm.Print_Area" localSheetId="4">ES!$A$1:$D$52</definedName>
    <definedName name="_xlnm.Print_Area" localSheetId="0">SINTÉTICO!$A$4:$J$24</definedName>
    <definedName name="BDI">SINTÉTICO!$G$6</definedName>
    <definedName name="CLIENTE">AUXILIAR!$B$9</definedName>
    <definedName name="DadosExternos_1" localSheetId="4" hidden="1">ES!#REF!</definedName>
    <definedName name="DESCONTO">SINTÉTICO!$M$4</definedName>
    <definedName name="LISTA_CLIENTES">TbClientes[Cliente]</definedName>
    <definedName name="LISTA_ESTADOS">AUXILIAR!$A$18:$A$44</definedName>
    <definedName name="LOCALEDATA">AUXILIAR!$B$11</definedName>
    <definedName name="_xlnm.Print_Titles" localSheetId="1">CFF!$2:$5</definedName>
    <definedName name="_xlnm.Print_Titles" localSheetId="2">'CFF (2)'!$1:$5</definedName>
    <definedName name="_xlnm.Print_Titles" localSheetId="5">CPUs!$3:$5</definedName>
    <definedName name="_xlnm.Print_Titles" localSheetId="0">SINTÉTICO!$4:$9</definedName>
    <definedName name="TOTALBDI">SINTÉTICO!$J$13</definedName>
    <definedName name="TOTALGERAL">SINTÉTICO!$J$14</definedName>
    <definedName name="TOTALSEMBDI">SINTÉTICO!$J$12</definedName>
    <definedName name="ÚLTIMALINCPUs">AUXILIAR!$B$15</definedName>
    <definedName name="ÚLTIMALINSINTÉTICO">AUXILIAR!$B$14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" i="9" l="1"/>
  <c r="G1" i="1"/>
  <c r="G2" i="1" a="1"/>
  <c r="G2" i="1" s="1"/>
  <c r="T10" i="1"/>
  <c r="H10" i="1"/>
  <c r="B11" i="11"/>
  <c r="A8" i="2" s="1"/>
  <c r="S10" i="1"/>
  <c r="R10" i="1" s="1"/>
  <c r="O10" i="1"/>
  <c r="P10" i="1" s="1"/>
  <c r="G6" i="1"/>
  <c r="I1" i="2"/>
  <c r="J1" i="2"/>
  <c r="J2" i="2" a="1"/>
  <c r="I2" i="2" a="1"/>
  <c r="J2" i="2" l="1"/>
  <c r="B15" i="11" s="1" a="1"/>
  <c r="B15" i="11" s="1"/>
  <c r="I2" i="2"/>
  <c r="A15" i="1"/>
  <c r="C7" i="12"/>
  <c r="C9" i="12"/>
  <c r="C11" i="12"/>
  <c r="C13" i="12"/>
  <c r="C15" i="12"/>
  <c r="C17" i="12"/>
  <c r="C19" i="12"/>
  <c r="C21" i="12"/>
  <c r="C23" i="12"/>
  <c r="C25" i="12"/>
  <c r="C27" i="12"/>
  <c r="C29" i="12"/>
  <c r="H2" i="1" l="1" a="1"/>
  <c r="H2" i="1" s="1"/>
  <c r="H1" i="1"/>
  <c r="D24" i="12"/>
  <c r="E24" i="12"/>
  <c r="F24" i="12"/>
  <c r="K24" i="12"/>
  <c r="D26" i="12"/>
  <c r="E26" i="12"/>
  <c r="F26" i="12"/>
  <c r="K26" i="12"/>
  <c r="D28" i="12"/>
  <c r="E28" i="12"/>
  <c r="I28" i="12"/>
  <c r="J28" i="12"/>
  <c r="K28" i="12"/>
  <c r="D30" i="12"/>
  <c r="E30" i="12"/>
  <c r="F30" i="12"/>
  <c r="G30" i="12"/>
  <c r="H30" i="12"/>
  <c r="A36" i="12"/>
  <c r="K22" i="12"/>
  <c r="J22" i="12"/>
  <c r="I22" i="12"/>
  <c r="H22" i="12"/>
  <c r="K20" i="12"/>
  <c r="J20" i="12"/>
  <c r="E20" i="12"/>
  <c r="D20" i="12"/>
  <c r="K18" i="12"/>
  <c r="H18" i="12"/>
  <c r="G18" i="12"/>
  <c r="F18" i="12"/>
  <c r="E18" i="12"/>
  <c r="D18" i="12"/>
  <c r="K16" i="12"/>
  <c r="E16" i="12"/>
  <c r="D16" i="12"/>
  <c r="K14" i="12"/>
  <c r="J14" i="12"/>
  <c r="I14" i="12"/>
  <c r="K12" i="12"/>
  <c r="J12" i="12"/>
  <c r="I12" i="12"/>
  <c r="H12" i="12"/>
  <c r="K10" i="12"/>
  <c r="J10" i="12"/>
  <c r="I10" i="12"/>
  <c r="H10" i="12"/>
  <c r="K8" i="12"/>
  <c r="J8" i="12"/>
  <c r="I8" i="12"/>
  <c r="H8" i="12"/>
  <c r="G8" i="12"/>
  <c r="F8" i="12"/>
  <c r="E8" i="12"/>
  <c r="C5" i="12"/>
  <c r="R19" i="10" l="1"/>
  <c r="R18" i="10"/>
  <c r="R17" i="10"/>
  <c r="R16" i="10"/>
  <c r="R14" i="10"/>
  <c r="R13" i="10"/>
  <c r="R11" i="10"/>
  <c r="R10" i="10"/>
  <c r="R9" i="10"/>
  <c r="R8" i="10"/>
  <c r="R7" i="10"/>
  <c r="P18" i="10"/>
  <c r="P17" i="10"/>
  <c r="P16" i="10"/>
  <c r="P8" i="10"/>
  <c r="P7" i="10"/>
  <c r="N22" i="10"/>
  <c r="N21" i="10"/>
  <c r="N19" i="10"/>
  <c r="N16" i="10"/>
  <c r="N15" i="10"/>
  <c r="N14" i="10"/>
  <c r="N8" i="10"/>
  <c r="N7" i="10"/>
  <c r="L22" i="10"/>
  <c r="L21" i="10"/>
  <c r="L20" i="10"/>
  <c r="L19" i="10"/>
  <c r="L15" i="10"/>
  <c r="L12" i="10"/>
  <c r="L8" i="10"/>
  <c r="L7" i="10"/>
  <c r="J22" i="10"/>
  <c r="J21" i="10"/>
  <c r="J20" i="10"/>
  <c r="J19" i="10"/>
  <c r="J15" i="10"/>
  <c r="J14" i="10"/>
  <c r="J12" i="10"/>
  <c r="J7" i="10"/>
  <c r="H22" i="10"/>
  <c r="H21" i="10"/>
  <c r="H20" i="10"/>
  <c r="H19" i="10"/>
  <c r="H15" i="10"/>
  <c r="H14" i="10"/>
  <c r="H12" i="10"/>
  <c r="H11" i="10"/>
  <c r="H7" i="10"/>
  <c r="F22" i="10"/>
  <c r="F21" i="10"/>
  <c r="F20" i="10"/>
  <c r="F19" i="10"/>
  <c r="F17" i="10"/>
  <c r="F15" i="10"/>
  <c r="F14" i="10"/>
  <c r="F12" i="10"/>
  <c r="F11" i="10"/>
  <c r="F10" i="10"/>
  <c r="F9" i="10"/>
  <c r="F7" i="10"/>
  <c r="D22" i="10"/>
  <c r="D21" i="10"/>
  <c r="D20" i="10"/>
  <c r="D19" i="10"/>
  <c r="D17" i="10"/>
  <c r="D15" i="10"/>
  <c r="D14" i="10"/>
  <c r="D12" i="10"/>
  <c r="D11" i="10"/>
  <c r="D10" i="10"/>
  <c r="D9" i="10"/>
  <c r="T22" i="10" a="1"/>
  <c r="T22" i="10" s="1"/>
  <c r="T21" i="10" a="1"/>
  <c r="T21" i="10" s="1"/>
  <c r="T20" i="10" a="1"/>
  <c r="T20" i="10" s="1"/>
  <c r="T19" i="10" a="1"/>
  <c r="T19" i="10" s="1"/>
  <c r="T17" i="10" a="1"/>
  <c r="T17" i="10" s="1"/>
  <c r="T15" i="10" a="1"/>
  <c r="T15" i="10" s="1"/>
  <c r="T13" i="10" a="1"/>
  <c r="T13" i="10" s="1"/>
  <c r="T11" i="10" a="1"/>
  <c r="T11" i="10" s="1"/>
  <c r="T10" i="10" a="1"/>
  <c r="T10" i="10" s="1"/>
  <c r="T9" i="10" a="1"/>
  <c r="T9" i="10" s="1"/>
  <c r="T8" i="10" a="1"/>
  <c r="T8" i="10" s="1"/>
  <c r="T7" i="10" a="1"/>
  <c r="T7" i="10" s="1"/>
  <c r="T12" i="10" a="1"/>
  <c r="T12" i="10" s="1"/>
  <c r="T14" i="10" a="1"/>
  <c r="T14" i="10" s="1"/>
  <c r="T16" i="10" a="1"/>
  <c r="T16" i="10" s="1"/>
  <c r="T18" i="10" a="1"/>
  <c r="T18" i="10" s="1"/>
  <c r="B14" i="11" a="1"/>
  <c r="B14" i="11" s="1"/>
  <c r="C22" i="10" a="1"/>
  <c r="C9" i="10" a="1"/>
  <c r="C19" i="10" a="1"/>
  <c r="B9" i="10" a="1"/>
  <c r="B14" i="10" a="1"/>
  <c r="B29" i="12" a="1"/>
  <c r="C12" i="10" a="1"/>
  <c r="C7" i="10" a="1"/>
  <c r="B21" i="10" a="1"/>
  <c r="C16" i="10" a="1"/>
  <c r="B15" i="12" a="1"/>
  <c r="B11" i="12" a="1"/>
  <c r="B8" i="10" a="1"/>
  <c r="C14" i="10" a="1"/>
  <c r="B20" i="10" a="1"/>
  <c r="B17" i="10" a="1"/>
  <c r="C18" i="10" a="1"/>
  <c r="B13" i="10" a="1"/>
  <c r="B10" i="10" a="1"/>
  <c r="C20" i="10" a="1"/>
  <c r="C6" i="10" a="1"/>
  <c r="B11" i="10" a="1"/>
  <c r="B16" i="10" a="1"/>
  <c r="C21" i="10" a="1"/>
  <c r="B7" i="12" a="1"/>
  <c r="J14" i="1"/>
  <c r="B5" i="12" a="1"/>
  <c r="C13" i="10" a="1"/>
  <c r="B15" i="10" a="1"/>
  <c r="B9" i="12" a="1"/>
  <c r="B17" i="12" a="1"/>
  <c r="B12" i="10" a="1"/>
  <c r="B22" i="10" a="1"/>
  <c r="B7" i="10" a="1"/>
  <c r="C10" i="10" a="1"/>
  <c r="B18" i="10" a="1"/>
  <c r="B21" i="12" a="1"/>
  <c r="B6" i="10" a="1"/>
  <c r="C17" i="10" a="1"/>
  <c r="C11" i="10" a="1"/>
  <c r="B19" i="10" a="1"/>
  <c r="C8" i="10" a="1"/>
  <c r="B19" i="12" a="1"/>
  <c r="B13" i="12" a="1"/>
  <c r="B25" i="12" a="1"/>
  <c r="C15" i="10" a="1"/>
  <c r="B23" i="12" a="1"/>
  <c r="J12" i="1" a="1"/>
  <c r="B27" i="12" a="1"/>
  <c r="C20" i="10" l="1"/>
  <c r="C21" i="10"/>
  <c r="B6" i="10"/>
  <c r="B13" i="10"/>
  <c r="B21" i="10"/>
  <c r="C15" i="10"/>
  <c r="C13" i="10"/>
  <c r="B8" i="10"/>
  <c r="B16" i="10"/>
  <c r="B22" i="10"/>
  <c r="C16" i="10"/>
  <c r="C14" i="10"/>
  <c r="C22" i="10"/>
  <c r="C6" i="10"/>
  <c r="C10" i="10"/>
  <c r="C18" i="10"/>
  <c r="B19" i="10"/>
  <c r="C19" i="10"/>
  <c r="B12" i="10"/>
  <c r="B7" i="10"/>
  <c r="C7" i="10"/>
  <c r="B14" i="10"/>
  <c r="B9" i="10"/>
  <c r="B15" i="10"/>
  <c r="C12" i="10"/>
  <c r="C8" i="10"/>
  <c r="B17" i="10"/>
  <c r="C9" i="10"/>
  <c r="C17" i="10"/>
  <c r="B10" i="10"/>
  <c r="B18" i="10"/>
  <c r="B11" i="10"/>
  <c r="B20" i="10"/>
  <c r="C11" i="10"/>
  <c r="J12" i="1"/>
  <c r="B15" i="12"/>
  <c r="B13" i="12"/>
  <c r="B11" i="12"/>
  <c r="B9" i="12"/>
  <c r="B7" i="12"/>
  <c r="B29" i="12"/>
  <c r="B27" i="12"/>
  <c r="B25" i="12"/>
  <c r="B23" i="12"/>
  <c r="B21" i="12"/>
  <c r="B19" i="12"/>
  <c r="B17" i="12"/>
  <c r="B5" i="12"/>
  <c r="C24" i="12" a="1"/>
  <c r="C22" i="12" a="1"/>
  <c r="C20" i="12" a="1"/>
  <c r="C26" i="12" a="1"/>
  <c r="C8" i="12" a="1"/>
  <c r="C6" i="12" a="1"/>
  <c r="C18" i="12" a="1"/>
  <c r="I10" i="1"/>
  <c r="I2" i="1" l="1" a="1"/>
  <c r="I2" i="1" s="1"/>
  <c r="I1" i="1"/>
  <c r="J13" i="1"/>
  <c r="C8" i="12"/>
  <c r="C18" i="12"/>
  <c r="C22" i="12"/>
  <c r="C20" i="12"/>
  <c r="C24" i="12"/>
  <c r="C26" i="12"/>
  <c r="C6" i="12"/>
  <c r="C16" i="12" a="1"/>
  <c r="C14" i="12" a="1"/>
  <c r="C30" i="12" a="1"/>
  <c r="C12" i="12" a="1"/>
  <c r="C28" i="12" a="1"/>
  <c r="C10" i="12" a="1"/>
  <c r="M5" i="1" l="1"/>
  <c r="N6" i="1" s="1"/>
  <c r="J10" i="1"/>
  <c r="C14" i="12"/>
  <c r="C30" i="12"/>
  <c r="C12" i="12"/>
  <c r="C16" i="12"/>
  <c r="C10" i="12"/>
  <c r="C28" i="12"/>
  <c r="A42" i="9"/>
  <c r="J1" i="1" l="1"/>
  <c r="J2" i="1" a="1"/>
  <c r="J2" i="1" s="1"/>
  <c r="A28" i="6"/>
  <c r="A28" i="10"/>
  <c r="G4" i="9" l="1"/>
  <c r="A3" i="6"/>
  <c r="T6" i="10" a="1"/>
  <c r="T6" i="10" s="1"/>
  <c r="D10" i="6" l="1"/>
  <c r="D15" i="6" s="1"/>
  <c r="D16" i="6" s="1"/>
  <c r="F12" i="12" l="1"/>
  <c r="J18" i="12"/>
  <c r="J26" i="12"/>
  <c r="F14" i="12"/>
  <c r="J16" i="12"/>
  <c r="P19" i="10"/>
  <c r="H26" i="12" l="1"/>
  <c r="G26" i="12"/>
  <c r="I26" i="12"/>
  <c r="G12" i="12"/>
  <c r="E12" i="12"/>
  <c r="D12" i="12"/>
  <c r="H14" i="12"/>
  <c r="I18" i="12"/>
  <c r="D8" i="12"/>
  <c r="I16" i="12"/>
  <c r="H16" i="12"/>
  <c r="G16" i="12"/>
  <c r="F16" i="12"/>
  <c r="E14" i="12"/>
  <c r="G14" i="12"/>
  <c r="D14" i="12"/>
  <c r="H24" i="12"/>
  <c r="J30" i="12"/>
  <c r="D10" i="12"/>
  <c r="I20" i="12"/>
  <c r="F28" i="12"/>
  <c r="J11" i="10"/>
  <c r="L11" i="10"/>
  <c r="P11" i="10"/>
  <c r="N11" i="10"/>
  <c r="R21" i="10"/>
  <c r="P21" i="10"/>
  <c r="J10" i="10"/>
  <c r="H10" i="10"/>
  <c r="P10" i="10"/>
  <c r="L10" i="10"/>
  <c r="N10" i="10"/>
  <c r="J9" i="10"/>
  <c r="L9" i="10"/>
  <c r="P9" i="10"/>
  <c r="H9" i="10"/>
  <c r="N9" i="10"/>
  <c r="N20" i="10"/>
  <c r="P20" i="10"/>
  <c r="R20" i="10"/>
  <c r="F16" i="10"/>
  <c r="L16" i="10"/>
  <c r="H16" i="10"/>
  <c r="J16" i="10"/>
  <c r="D16" i="10"/>
  <c r="N12" i="10"/>
  <c r="P12" i="10"/>
  <c r="R12" i="10"/>
  <c r="D7" i="10"/>
  <c r="P22" i="10"/>
  <c r="R22" i="10"/>
  <c r="H28" i="12" l="1"/>
  <c r="G28" i="12"/>
  <c r="I24" i="12"/>
  <c r="E10" i="12"/>
  <c r="F10" i="12"/>
  <c r="G10" i="12"/>
  <c r="G20" i="12"/>
  <c r="K30" i="12"/>
  <c r="I30" i="12"/>
  <c r="G22" i="12"/>
  <c r="G24" i="12"/>
  <c r="J24" i="12"/>
  <c r="H20" i="12"/>
  <c r="F20" i="12"/>
  <c r="D18" i="10"/>
  <c r="N18" i="10"/>
  <c r="J18" i="10"/>
  <c r="H18" i="10"/>
  <c r="L18" i="10"/>
  <c r="F18" i="10"/>
  <c r="N17" i="10"/>
  <c r="H17" i="10"/>
  <c r="L17" i="10"/>
  <c r="J17" i="10"/>
  <c r="P15" i="10"/>
  <c r="R15" i="10"/>
  <c r="F8" i="10"/>
  <c r="H8" i="10"/>
  <c r="J8" i="10"/>
  <c r="D8" i="10"/>
  <c r="N13" i="10"/>
  <c r="J13" i="10"/>
  <c r="D13" i="10"/>
  <c r="F13" i="10"/>
  <c r="H13" i="10"/>
  <c r="L13" i="10"/>
  <c r="P13" i="10"/>
  <c r="D22" i="12" l="1"/>
  <c r="F22" i="12"/>
  <c r="E22" i="12"/>
  <c r="P14" i="10"/>
  <c r="L14" i="10"/>
  <c r="G6" i="12" l="1"/>
  <c r="G32" i="12" s="1" a="1"/>
  <c r="G32" i="12" s="1"/>
  <c r="L34" i="12"/>
  <c r="T26" i="10"/>
  <c r="I6" i="12" l="1"/>
  <c r="I32" i="12" s="1" a="1"/>
  <c r="I32" i="12" s="1"/>
  <c r="H6" i="12"/>
  <c r="H32" i="12" s="1" a="1"/>
  <c r="H32" i="12" s="1"/>
  <c r="K6" i="12"/>
  <c r="K32" i="12" s="1" a="1"/>
  <c r="K32" i="12" s="1"/>
  <c r="E6" i="12"/>
  <c r="E32" i="12" s="1" a="1"/>
  <c r="E32" i="12" s="1"/>
  <c r="D6" i="12"/>
  <c r="D32" i="12" s="1" a="1"/>
  <c r="D32" i="12" s="1"/>
  <c r="J6" i="12"/>
  <c r="J32" i="12" s="1" a="1"/>
  <c r="J32" i="12" s="1"/>
  <c r="F6" i="12"/>
  <c r="F32" i="12" s="1" a="1"/>
  <c r="F32" i="12" s="1"/>
  <c r="N6" i="10"/>
  <c r="N24" i="10" s="1"/>
  <c r="H6" i="10"/>
  <c r="H24" i="10" s="1"/>
  <c r="P6" i="10"/>
  <c r="P24" i="10" s="1"/>
  <c r="L6" i="10"/>
  <c r="L24" i="10" s="1"/>
  <c r="F6" i="10"/>
  <c r="F24" i="10" s="1"/>
  <c r="J6" i="10"/>
  <c r="J24" i="10" s="1"/>
  <c r="D6" i="10"/>
  <c r="D24" i="10" s="1"/>
  <c r="R6" i="10"/>
  <c r="R24" i="10" s="1"/>
  <c r="D34" i="12" l="1"/>
  <c r="E34" i="12" s="1"/>
  <c r="F34" i="12" s="1"/>
  <c r="G34" i="12" s="1"/>
  <c r="H34" i="12" s="1"/>
  <c r="I34" i="12" s="1"/>
  <c r="J34" i="12" s="1"/>
  <c r="K34" i="12" s="1"/>
  <c r="L33" i="12" s="1"/>
  <c r="D26" i="10"/>
  <c r="F26" i="10" s="1"/>
  <c r="H26" i="10" s="1"/>
  <c r="J26" i="10" s="1"/>
  <c r="L26" i="10" s="1"/>
  <c r="N26" i="10" s="1"/>
  <c r="P26" i="10" s="1"/>
  <c r="R26" i="10" s="1"/>
  <c r="T27" i="10" s="1"/>
  <c r="J31" i="12" l="1"/>
  <c r="H31" i="12"/>
  <c r="G31" i="12"/>
  <c r="D31" i="12"/>
  <c r="D33" i="12" s="1"/>
  <c r="I31" i="12"/>
  <c r="F31" i="12"/>
  <c r="E31" i="12"/>
  <c r="K31" i="12"/>
  <c r="H23" i="10"/>
  <c r="F23" i="10"/>
  <c r="N23" i="10"/>
  <c r="P23" i="10"/>
  <c r="L23" i="10"/>
  <c r="J23" i="10"/>
  <c r="D23" i="10"/>
  <c r="D25" i="10" s="1"/>
  <c r="R23" i="10"/>
  <c r="E33" i="12" l="1"/>
  <c r="F33" i="12" s="1"/>
  <c r="G33" i="12" s="1"/>
  <c r="H33" i="12" s="1"/>
  <c r="I33" i="12" s="1"/>
  <c r="J33" i="12" s="1"/>
  <c r="K33" i="12" s="1"/>
  <c r="F25" i="10"/>
  <c r="H25" i="10" s="1"/>
  <c r="J25" i="10" s="1"/>
  <c r="L25" i="10" s="1"/>
  <c r="N25" i="10" s="1"/>
  <c r="P25" i="10" s="1"/>
  <c r="R25" i="10" s="1"/>
  <c r="R8" i="1"/>
  <c r="P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<sst xmlns="http://schemas.openxmlformats.org/spreadsheetml/2006/main" count="357" uniqueCount="255">
  <si>
    <t>Item</t>
  </si>
  <si>
    <t>Código</t>
  </si>
  <si>
    <t>Banco</t>
  </si>
  <si>
    <t>Descrição</t>
  </si>
  <si>
    <t>Und</t>
  </si>
  <si>
    <t>Quant.</t>
  </si>
  <si>
    <t>Valor Unit</t>
  </si>
  <si>
    <t>Total</t>
  </si>
  <si>
    <t>SINAPI</t>
  </si>
  <si>
    <t>Total sem BDI</t>
  </si>
  <si>
    <t>Total do BDI</t>
  </si>
  <si>
    <t>Total Geral</t>
  </si>
  <si>
    <t>Tipo</t>
  </si>
  <si>
    <t>ORSE</t>
  </si>
  <si>
    <t>L</t>
  </si>
  <si>
    <t>GRUPO</t>
  </si>
  <si>
    <t>Cronograma Físico-Financeiro</t>
  </si>
  <si>
    <t>DESCRIÇÃO</t>
  </si>
  <si>
    <t>TAXA (%)</t>
  </si>
  <si>
    <t>AC</t>
  </si>
  <si>
    <t>Administração Central</t>
  </si>
  <si>
    <t>S + G</t>
  </si>
  <si>
    <t>Seguros  +  Garantias</t>
  </si>
  <si>
    <t>R</t>
  </si>
  <si>
    <t>Riscos</t>
  </si>
  <si>
    <t>DF</t>
  </si>
  <si>
    <t>Despesas Financeiras</t>
  </si>
  <si>
    <t>Lucro/Remuneração</t>
  </si>
  <si>
    <t>T</t>
  </si>
  <si>
    <t>Tributos</t>
  </si>
  <si>
    <t>ISS</t>
  </si>
  <si>
    <t>Imposto Sobre Serviços</t>
  </si>
  <si>
    <t>C</t>
  </si>
  <si>
    <t>COFINS</t>
  </si>
  <si>
    <t>P</t>
  </si>
  <si>
    <t>PIS</t>
  </si>
  <si>
    <t>BDI CALCULADO (%)</t>
  </si>
  <si>
    <t>BDI ADOTADO (%)</t>
  </si>
  <si>
    <t xml:space="preserve">BDI= </t>
  </si>
  <si>
    <t>Em que:</t>
  </si>
  <si>
    <t xml:space="preserve">AC = </t>
  </si>
  <si>
    <t>taxa representativa das despesas de rateio da administração central;</t>
  </si>
  <si>
    <t>S + G =</t>
  </si>
  <si>
    <t>taxa representativa de seguros mais garantias;</t>
  </si>
  <si>
    <t>R =</t>
  </si>
  <si>
    <t>taxa representativa de riscos;</t>
  </si>
  <si>
    <t>DF =</t>
  </si>
  <si>
    <t>taxa representativa das despesas financeiras;</t>
  </si>
  <si>
    <t>L =</t>
  </si>
  <si>
    <t xml:space="preserve">taxa representativa do lucro/remuneração; </t>
  </si>
  <si>
    <t>T =</t>
  </si>
  <si>
    <t>taxa representativa da incidência de tributos.</t>
  </si>
  <si>
    <t>3714/adaptada</t>
  </si>
  <si>
    <t>Pintura de acabamento em superfícies metálicas com aplicação de 02 demão de tinta esmalte poliuretano</t>
  </si>
  <si>
    <t>Pintor com encargos  complementares</t>
  </si>
  <si>
    <t>Servente de obras com encargos  complementares</t>
  </si>
  <si>
    <t>((( 1 + ( AC + R + S + G )) x ( 1 + DF ) x ( 1 + L ))/(1 - T)) - 1</t>
  </si>
  <si>
    <t>6.1</t>
  </si>
  <si>
    <t>6.2</t>
  </si>
  <si>
    <t>6.3</t>
  </si>
  <si>
    <t>ITEM</t>
  </si>
  <si>
    <t>CÓDIGO</t>
  </si>
  <si>
    <t>A1</t>
  </si>
  <si>
    <t>INSS</t>
  </si>
  <si>
    <t>A2</t>
  </si>
  <si>
    <t>SESI</t>
  </si>
  <si>
    <t>A3</t>
  </si>
  <si>
    <t>SENAI</t>
  </si>
  <si>
    <t>A4</t>
  </si>
  <si>
    <t>INCRA</t>
  </si>
  <si>
    <t>A5</t>
  </si>
  <si>
    <t>SEBRAE</t>
  </si>
  <si>
    <t>A6</t>
  </si>
  <si>
    <t>A7</t>
  </si>
  <si>
    <t>A8</t>
  </si>
  <si>
    <t>FGTS</t>
  </si>
  <si>
    <t>A9</t>
  </si>
  <si>
    <t>SECONCI</t>
  </si>
  <si>
    <t>A</t>
  </si>
  <si>
    <t>B1</t>
  </si>
  <si>
    <t>B2</t>
  </si>
  <si>
    <t>Feriados</t>
  </si>
  <si>
    <t>B3</t>
  </si>
  <si>
    <t>B4</t>
  </si>
  <si>
    <t>B5</t>
  </si>
  <si>
    <t>B6</t>
  </si>
  <si>
    <t>B7</t>
  </si>
  <si>
    <t>B8</t>
  </si>
  <si>
    <t>B9</t>
  </si>
  <si>
    <t>B10</t>
  </si>
  <si>
    <t>B</t>
  </si>
  <si>
    <t>C1</t>
  </si>
  <si>
    <t>C2</t>
  </si>
  <si>
    <t>C3</t>
  </si>
  <si>
    <t>C4</t>
  </si>
  <si>
    <t>C5</t>
  </si>
  <si>
    <t>D1</t>
  </si>
  <si>
    <t>D2</t>
  </si>
  <si>
    <t>D</t>
  </si>
  <si>
    <t>TIPOS DE OBRA</t>
  </si>
  <si>
    <t>Médio</t>
  </si>
  <si>
    <t>3º Quartil</t>
  </si>
  <si>
    <t>CONSTRUÇÃO DE EDIFÍCIOS</t>
  </si>
  <si>
    <t>CONSTRUÇÃO DE RODOVIAS E FERROVIAS</t>
  </si>
  <si>
    <t>ADMINISTRAÇÃO CENTRAL</t>
  </si>
  <si>
    <t>SEGURO + GARANTIA</t>
  </si>
  <si>
    <t>RISCO</t>
  </si>
  <si>
    <t>1º Quartil</t>
  </si>
  <si>
    <t>DESPESA FINANCEIRA</t>
  </si>
  <si>
    <t>LUCRO</t>
  </si>
  <si>
    <t>Total Por Etapa</t>
  </si>
  <si>
    <t>30 DIAS</t>
  </si>
  <si>
    <t>60 DIAS</t>
  </si>
  <si>
    <t>90 DIAS</t>
  </si>
  <si>
    <t>120 DIAS</t>
  </si>
  <si>
    <t>150 DIAS</t>
  </si>
  <si>
    <t>180 DIAS</t>
  </si>
  <si>
    <t>Porcentagem</t>
  </si>
  <si>
    <t>Custo</t>
  </si>
  <si>
    <t>Porcentagem Acumulado</t>
  </si>
  <si>
    <t>Custo Acumulado</t>
  </si>
  <si>
    <t>Composições Principais</t>
  </si>
  <si>
    <t>Composições Analíticas com Preço Unitário</t>
  </si>
  <si>
    <t>Desconto:</t>
  </si>
  <si>
    <t>Composição do BDI</t>
  </si>
  <si>
    <t>6.4</t>
  </si>
  <si>
    <t>CPRB</t>
  </si>
  <si>
    <t>Valor atual:</t>
  </si>
  <si>
    <t>Desoneração:</t>
  </si>
  <si>
    <t>Estado:</t>
  </si>
  <si>
    <t>Bahia</t>
  </si>
  <si>
    <t>Aba:</t>
  </si>
  <si>
    <t>Não excluir!</t>
  </si>
  <si>
    <t>Zerado?</t>
  </si>
  <si>
    <t>Erro?</t>
  </si>
  <si>
    <t>Estados brasileiros</t>
  </si>
  <si>
    <t>Acre</t>
  </si>
  <si>
    <t>Alagoas</t>
  </si>
  <si>
    <t>Amapá</t>
  </si>
  <si>
    <t>Amazonas</t>
  </si>
  <si>
    <t>Ceará</t>
  </si>
  <si>
    <t>Distrito Federal</t>
  </si>
  <si>
    <t>Espírito Santo</t>
  </si>
  <si>
    <t>Goiás</t>
  </si>
  <si>
    <t>Maranhão</t>
  </si>
  <si>
    <t>Mato Grosso</t>
  </si>
  <si>
    <t>Mato Grosso do Sul</t>
  </si>
  <si>
    <t>Minas Gerais</t>
  </si>
  <si>
    <t>Pará</t>
  </si>
  <si>
    <t>Paraíba</t>
  </si>
  <si>
    <t>Paraná</t>
  </si>
  <si>
    <t>Pernambuco</t>
  </si>
  <si>
    <t>Piauí</t>
  </si>
  <si>
    <t>Rio de Janeiro</t>
  </si>
  <si>
    <t>Rio Grande do Norte</t>
  </si>
  <si>
    <t>Rio Grande do Sul</t>
  </si>
  <si>
    <t>Rondônia</t>
  </si>
  <si>
    <t>Roraima</t>
  </si>
  <si>
    <t>Santa Catarina</t>
  </si>
  <si>
    <t>São Paulo</t>
  </si>
  <si>
    <t>Sergipe</t>
  </si>
  <si>
    <t>Tocantins</t>
  </si>
  <si>
    <t xml:space="preserve"> 1.1 </t>
  </si>
  <si>
    <t>ÚLTIMALINSINT</t>
  </si>
  <si>
    <t>ÚLTIMALINCPUS</t>
  </si>
  <si>
    <t>210 DIAS</t>
  </si>
  <si>
    <t>240 DIAS</t>
  </si>
  <si>
    <r>
      <rPr>
        <b/>
        <sz val="10"/>
        <color rgb="FFFFFFFF"/>
        <rFont val="Aptos Narrow"/>
        <family val="2"/>
      </rPr>
      <t>ENCARGOS</t>
    </r>
    <r>
      <rPr>
        <sz val="10"/>
        <color rgb="FFFFFFFF"/>
        <rFont val="Aptos Narrow"/>
        <family val="2"/>
      </rPr>
      <t xml:space="preserve">   </t>
    </r>
    <r>
      <rPr>
        <b/>
        <sz val="10"/>
        <color rgb="FFFFFFFF"/>
        <rFont val="Aptos Narrow"/>
        <family val="2"/>
      </rPr>
      <t>SOCIAIS</t>
    </r>
    <r>
      <rPr>
        <sz val="10"/>
        <color rgb="FFFFFFFF"/>
        <rFont val="Aptos Narrow"/>
        <family val="2"/>
      </rPr>
      <t xml:space="preserve">   </t>
    </r>
    <r>
      <rPr>
        <b/>
        <sz val="10"/>
        <color rgb="FFFFFFFF"/>
        <rFont val="Aptos Narrow"/>
        <family val="2"/>
      </rPr>
      <t>SOBRE</t>
    </r>
    <r>
      <rPr>
        <sz val="10"/>
        <color rgb="FFFFFFFF"/>
        <rFont val="Aptos Narrow"/>
        <family val="2"/>
      </rPr>
      <t xml:space="preserve">   </t>
    </r>
    <r>
      <rPr>
        <b/>
        <sz val="10"/>
        <color rgb="FFFFFFFF"/>
        <rFont val="Aptos Narrow"/>
        <family val="2"/>
      </rPr>
      <t>A</t>
    </r>
    <r>
      <rPr>
        <sz val="10"/>
        <color rgb="FFFFFFFF"/>
        <rFont val="Aptos Narrow"/>
        <family val="2"/>
      </rPr>
      <t xml:space="preserve">   </t>
    </r>
    <r>
      <rPr>
        <b/>
        <sz val="10"/>
        <color rgb="FFFFFFFF"/>
        <rFont val="Aptos Narrow"/>
        <family val="2"/>
      </rPr>
      <t>MÃO</t>
    </r>
    <r>
      <rPr>
        <sz val="10"/>
        <color rgb="FFFFFFFF"/>
        <rFont val="Aptos Narrow"/>
        <family val="2"/>
      </rPr>
      <t xml:space="preserve">   </t>
    </r>
    <r>
      <rPr>
        <b/>
        <sz val="10"/>
        <color rgb="FFFFFFFF"/>
        <rFont val="Aptos Narrow"/>
        <family val="2"/>
      </rPr>
      <t>DE</t>
    </r>
    <r>
      <rPr>
        <sz val="10"/>
        <color rgb="FFFFFFFF"/>
        <rFont val="Aptos Narrow"/>
        <family val="2"/>
      </rPr>
      <t xml:space="preserve">   </t>
    </r>
    <r>
      <rPr>
        <b/>
        <sz val="10"/>
        <color rgb="FFFFFFFF"/>
        <rFont val="Aptos Narrow"/>
        <family val="2"/>
      </rPr>
      <t>OBRA</t>
    </r>
  </si>
  <si>
    <r>
      <rPr>
        <b/>
        <sz val="10"/>
        <color rgb="FFFFFFFF"/>
        <rFont val="Aptos Narrow"/>
        <family val="2"/>
      </rPr>
      <t>SEM</t>
    </r>
    <r>
      <rPr>
        <sz val="10"/>
        <color rgb="FFFFFFFF"/>
        <rFont val="Aptos Narrow"/>
        <family val="2"/>
      </rPr>
      <t xml:space="preserve"> </t>
    </r>
    <r>
      <rPr>
        <b/>
        <sz val="10"/>
        <color rgb="FFFFFFFF"/>
        <rFont val="Aptos Narrow"/>
        <family val="2"/>
      </rPr>
      <t>DESONERAÇÃO</t>
    </r>
  </si>
  <si>
    <r>
      <rPr>
        <b/>
        <sz val="10"/>
        <rFont val="Aptos Narrow"/>
        <family val="2"/>
      </rPr>
      <t>HORISTA
%</t>
    </r>
  </si>
  <si>
    <r>
      <rPr>
        <b/>
        <sz val="10"/>
        <rFont val="Aptos Narrow"/>
        <family val="2"/>
      </rPr>
      <t>MENSALISTA
%</t>
    </r>
  </si>
  <si>
    <r>
      <rPr>
        <b/>
        <sz val="10"/>
        <color rgb="FFFFFFFF"/>
        <rFont val="Aptos Narrow"/>
        <family val="2"/>
      </rPr>
      <t>GRUPO</t>
    </r>
    <r>
      <rPr>
        <sz val="10"/>
        <color rgb="FFFFFFFF"/>
        <rFont val="Aptos Narrow"/>
        <family val="2"/>
      </rPr>
      <t xml:space="preserve"> </t>
    </r>
    <r>
      <rPr>
        <b/>
        <sz val="10"/>
        <color rgb="FFFFFFFF"/>
        <rFont val="Aptos Narrow"/>
        <family val="2"/>
      </rPr>
      <t>A</t>
    </r>
  </si>
  <si>
    <r>
      <rPr>
        <sz val="10"/>
        <rFont val="Aptos Narrow"/>
        <family val="2"/>
      </rPr>
      <t>Salário Educação</t>
    </r>
  </si>
  <si>
    <r>
      <rPr>
        <sz val="10"/>
        <rFont val="Aptos Narrow"/>
        <family val="2"/>
      </rPr>
      <t>Seguro Contra Acidentes de Trabalho</t>
    </r>
  </si>
  <si>
    <r>
      <rPr>
        <b/>
        <sz val="10"/>
        <color rgb="FFFFFFFF"/>
        <rFont val="Aptos Narrow"/>
        <family val="2"/>
      </rPr>
      <t>GRUPO</t>
    </r>
    <r>
      <rPr>
        <sz val="10"/>
        <color rgb="FFFFFFFF"/>
        <rFont val="Aptos Narrow"/>
        <family val="2"/>
      </rPr>
      <t xml:space="preserve"> </t>
    </r>
    <r>
      <rPr>
        <b/>
        <sz val="10"/>
        <color rgb="FFFFFFFF"/>
        <rFont val="Aptos Narrow"/>
        <family val="2"/>
      </rPr>
      <t>B</t>
    </r>
  </si>
  <si>
    <r>
      <rPr>
        <sz val="10"/>
        <rFont val="Aptos Narrow"/>
        <family val="2"/>
      </rPr>
      <t>Repouso Semanal Remunerado</t>
    </r>
  </si>
  <si>
    <r>
      <rPr>
        <sz val="10"/>
        <rFont val="Aptos Narrow"/>
        <family val="2"/>
      </rPr>
      <t>Não incide</t>
    </r>
  </si>
  <si>
    <r>
      <rPr>
        <sz val="10"/>
        <rFont val="Aptos Narrow"/>
        <family val="2"/>
      </rPr>
      <t>Auxílio - Enfermidade</t>
    </r>
  </si>
  <si>
    <r>
      <rPr>
        <sz val="10"/>
        <rFont val="Aptos Narrow"/>
        <family val="2"/>
      </rPr>
      <t>13º Salário</t>
    </r>
  </si>
  <si>
    <r>
      <rPr>
        <sz val="10"/>
        <rFont val="Aptos Narrow"/>
        <family val="2"/>
      </rPr>
      <t>Licença Paternidade</t>
    </r>
  </si>
  <si>
    <r>
      <rPr>
        <sz val="10"/>
        <rFont val="Aptos Narrow"/>
        <family val="2"/>
      </rPr>
      <t>Faltas Justificadas</t>
    </r>
  </si>
  <si>
    <r>
      <rPr>
        <sz val="10"/>
        <rFont val="Aptos Narrow"/>
        <family val="2"/>
      </rPr>
      <t>Dias de Chuvas</t>
    </r>
  </si>
  <si>
    <r>
      <rPr>
        <sz val="10"/>
        <rFont val="Aptos Narrow"/>
        <family val="2"/>
      </rPr>
      <t>Auxílio Acidente de Trabalho</t>
    </r>
  </si>
  <si>
    <r>
      <rPr>
        <sz val="10"/>
        <rFont val="Aptos Narrow"/>
        <family val="2"/>
      </rPr>
      <t>Férias Gozadas</t>
    </r>
  </si>
  <si>
    <r>
      <rPr>
        <sz val="10"/>
        <rFont val="Aptos Narrow"/>
        <family val="2"/>
      </rPr>
      <t>Salário Maternidade</t>
    </r>
  </si>
  <si>
    <r>
      <rPr>
        <b/>
        <sz val="10"/>
        <color rgb="FFFFFFFF"/>
        <rFont val="Aptos Narrow"/>
        <family val="2"/>
      </rPr>
      <t>GRUPO</t>
    </r>
    <r>
      <rPr>
        <sz val="10"/>
        <color rgb="FFFFFFFF"/>
        <rFont val="Aptos Narrow"/>
        <family val="2"/>
      </rPr>
      <t xml:space="preserve"> </t>
    </r>
    <r>
      <rPr>
        <b/>
        <sz val="10"/>
        <color rgb="FFFFFFFF"/>
        <rFont val="Aptos Narrow"/>
        <family val="2"/>
      </rPr>
      <t>C</t>
    </r>
  </si>
  <si>
    <r>
      <rPr>
        <sz val="10"/>
        <rFont val="Aptos Narrow"/>
        <family val="2"/>
      </rPr>
      <t>Aviso Prévio Indenizado</t>
    </r>
  </si>
  <si>
    <r>
      <rPr>
        <sz val="10"/>
        <rFont val="Aptos Narrow"/>
        <family val="2"/>
      </rPr>
      <t>Aviso Prévio Trabalhado</t>
    </r>
  </si>
  <si>
    <r>
      <rPr>
        <sz val="10"/>
        <rFont val="Aptos Narrow"/>
        <family val="2"/>
      </rPr>
      <t>Férias Indenizadas</t>
    </r>
  </si>
  <si>
    <r>
      <rPr>
        <sz val="10"/>
        <rFont val="Aptos Narrow"/>
        <family val="2"/>
      </rPr>
      <t>Depósito Rescisão Sem Justa Causa</t>
    </r>
  </si>
  <si>
    <r>
      <rPr>
        <sz val="10"/>
        <rFont val="Aptos Narrow"/>
        <family val="2"/>
      </rPr>
      <t>Indenização Adicional</t>
    </r>
  </si>
  <si>
    <r>
      <rPr>
        <b/>
        <sz val="10"/>
        <color rgb="FFFFFFFF"/>
        <rFont val="Aptos Narrow"/>
        <family val="2"/>
      </rPr>
      <t>GRUPO</t>
    </r>
    <r>
      <rPr>
        <sz val="10"/>
        <color rgb="FFFFFFFF"/>
        <rFont val="Aptos Narrow"/>
        <family val="2"/>
      </rPr>
      <t xml:space="preserve"> </t>
    </r>
    <r>
      <rPr>
        <b/>
        <sz val="10"/>
        <color rgb="FFFFFFFF"/>
        <rFont val="Aptos Narrow"/>
        <family val="2"/>
      </rPr>
      <t>D</t>
    </r>
  </si>
  <si>
    <r>
      <rPr>
        <b/>
        <sz val="10"/>
        <color rgb="FFFFFFFF"/>
        <rFont val="Aptos Narrow"/>
        <family val="2"/>
      </rPr>
      <t>TOTAL(A+B+C+D)</t>
    </r>
  </si>
  <si>
    <r>
      <rPr>
        <b/>
        <sz val="10"/>
        <color rgb="FFFFFFFF"/>
        <rFont val="Aptos Narrow"/>
        <family val="2"/>
      </rPr>
      <t>BAHIA - VIGÊNCIA A PARTIR DE   01/2025</t>
    </r>
    <r>
      <rPr>
        <sz val="10"/>
        <color rgb="FFFFFFFF"/>
        <rFont val="Aptos Narrow"/>
        <family val="2"/>
      </rPr>
      <t xml:space="preserve">                                                                             </t>
    </r>
  </si>
  <si>
    <t>Reincidência de Grupo A sobre Aviso Prévio Trabalhado e Reincidência do FGTS sobre Aviso Prévio Indenizado</t>
  </si>
  <si>
    <t>Reincidência de Grupo A sobre Grupo B (sem considerar INNS sobre 13º, conforme Lei nº 14.973/2024)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</si>
  <si>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</si>
  <si>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</si>
  <si>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</si>
  <si>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</si>
  <si>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</si>
  <si>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</si>
  <si>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</si>
  <si>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</si>
  <si>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</si>
  <si>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</si>
  <si>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</si>
  <si>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</si>
  <si>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</si>
  <si>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</si>
  <si>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</si>
  <si>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</si>
  <si>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</si>
  <si>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Obra</t>
  </si>
  <si>
    <t>Bancos</t>
  </si>
  <si>
    <t>B.D.I.</t>
  </si>
  <si>
    <t>Encargos Sociais</t>
  </si>
  <si>
    <t>Orçamento Sintético</t>
  </si>
  <si>
    <t>Referencial</t>
  </si>
  <si>
    <t>Valor Unit com BDI</t>
  </si>
  <si>
    <t>Peso (%)</t>
  </si>
  <si>
    <t>Dif.</t>
  </si>
  <si>
    <t>Verificação</t>
  </si>
  <si>
    <t>NÍVEL</t>
  </si>
  <si>
    <t>TIPO</t>
  </si>
  <si>
    <t>PJ</t>
  </si>
  <si>
    <t>Última linha</t>
  </si>
  <si>
    <t>Cliente</t>
  </si>
  <si>
    <t>Data</t>
  </si>
  <si>
    <t>Local e data</t>
  </si>
  <si>
    <t>Parâmetro</t>
  </si>
  <si>
    <t>Dados</t>
  </si>
  <si>
    <t>Sede</t>
  </si>
  <si>
    <t>DELTA</t>
  </si>
  <si>
    <t>CONTRATTUS</t>
  </si>
  <si>
    <t>HG</t>
  </si>
  <si>
    <t>M3S</t>
  </si>
  <si>
    <t>QUADRANTE</t>
  </si>
  <si>
    <t>SEVEN</t>
  </si>
  <si>
    <t>VPR</t>
  </si>
  <si>
    <t>GENIARQ</t>
  </si>
  <si>
    <t>SKALA</t>
  </si>
  <si>
    <t>Vicência/PE</t>
  </si>
  <si>
    <t>Feira de Santana/BA</t>
  </si>
  <si>
    <t>Morro do Chapéu/BA</t>
  </si>
  <si>
    <t>Salvador/BA</t>
  </si>
  <si>
    <t>Lauro de Freitas/BA</t>
  </si>
  <si>
    <t>Castro Alves/BA</t>
  </si>
  <si>
    <t>Madre de Deus/BA</t>
  </si>
  <si>
    <t>Pojuca/BA</t>
  </si>
  <si>
    <t>Meta:</t>
  </si>
  <si>
    <t>GL</t>
  </si>
  <si>
    <t>Paulo Afonso/BA</t>
  </si>
  <si>
    <t>Estado</t>
  </si>
  <si>
    <t>SANTORINI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</si>
</sst>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#,##0.00\ %"/>
  </numFmts>
  <fonts count="23" x14ac:knownFonts="1">
    <font>
      <sz val="11"/>
      <name val="Arial"/>
      <family val="1"/>
      <charset val="1"/>
    </font>
    <font>
      <sz val="10"/>
      <name val="Arial"/>
      <family val="2"/>
    </font>
    <font>
      <sz val="11"/>
      <name val="Arial"/>
      <family val="1"/>
    </font>
    <font>
      <sz val="8"/>
      <name val="Arial"/>
      <family val="1"/>
      <charset val="1"/>
    </font>
    <font>
      <sz val="11"/>
      <color theme="1"/>
      <name val="Aptos Narrow"/>
      <family val="2"/>
      <scheme val="minor"/>
    </font>
    <font>
      <sz val="11"/>
      <color indexed="8"/>
      <name val="Calibri"/>
      <family val="2"/>
    </font>
    <font>
      <sz val="11"/>
      <name val="Arial"/>
      <family val="1"/>
      <charset val="1"/>
    </font>
    <font>
      <b/>
      <sz val="10"/>
      <name val="Aptos Narrow"/>
      <family val="2"/>
      <scheme val="minor"/>
    </font>
    <font>
      <sz val="10"/>
      <name val="Aptos Narrow"/>
      <family val="2"/>
      <scheme val="minor"/>
    </font>
    <font>
      <sz val="10"/>
      <color rgb="FF00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rgb="FF00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0"/>
      <color indexed="8"/>
      <name val="Aptos Narrow"/>
      <family val="2"/>
      <scheme val="minor"/>
    </font>
    <font>
      <sz val="10"/>
      <color indexed="8"/>
      <name val="Aptos Narrow"/>
      <family val="2"/>
      <scheme val="minor"/>
    </font>
    <font>
      <sz val="10"/>
      <color rgb="FFFFFFFF"/>
      <name val="Aptos Narrow"/>
      <family val="2"/>
    </font>
    <font>
      <b/>
      <sz val="10"/>
      <color rgb="FFFFFFFF"/>
      <name val="Aptos Narrow"/>
      <family val="2"/>
    </font>
    <font>
      <sz val="10"/>
      <color rgb="FF000000"/>
      <name val="Aptos Narrow"/>
      <family val="2"/>
    </font>
    <font>
      <b/>
      <sz val="10"/>
      <name val="Aptos Narrow"/>
      <family val="2"/>
    </font>
    <font>
      <sz val="10"/>
      <name val="Aptos Narrow"/>
      <family val="2"/>
    </font>
    <font>
      <b/>
      <sz val="10"/>
      <color rgb="FF000000"/>
      <name val="Aptos Narrow"/>
      <family val="2"/>
    </font>
    <font>
      <b/>
      <sz val="10"/>
      <name val="Aptos Mono"/>
      <family val="3"/>
    </font>
    <font>
      <sz val="10"/>
      <name val="Aptos Mono"/>
      <family val="3"/>
    </font>
  </fonts>
  <fills count="16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FFFF"/>
      </patternFill>
    </fill>
    <fill>
      <patternFill patternType="solid">
        <fgColor rgb="FFD8ECF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F7F7F"/>
      </patternFill>
    </fill>
    <fill>
      <patternFill patternType="solid">
        <fgColor rgb="FF538CD3"/>
      </patternFill>
    </fill>
    <fill>
      <patternFill patternType="solid">
        <fgColor rgb="FFB8CCE4"/>
      </patternFill>
    </fill>
    <fill>
      <patternFill patternType="solid">
        <fgColor rgb="FFFFFFFF"/>
        <bgColor rgb="FFFFFFFF"/>
      </patternFill>
    </fill>
    <fill>
      <patternFill patternType="solid">
        <fgColor rgb="FFD8EBF6"/>
      </patternFill>
    </fill>
    <fill>
      <patternFill patternType="solid">
        <fgColor theme="1" tint="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CCCCCC"/>
      </bottom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rgb="FF7A9FCD"/>
      </bottom>
      <diagonal/>
    </border>
    <border>
      <left style="thin">
        <color rgb="FF7A9FCD"/>
      </left>
      <right/>
      <top style="thin">
        <color rgb="FF7A9FCD"/>
      </top>
      <bottom style="thin">
        <color rgb="FF7A9FCD"/>
      </bottom>
      <diagonal/>
    </border>
    <border>
      <left/>
      <right/>
      <top style="thin">
        <color rgb="FF7A9FCD"/>
      </top>
      <bottom style="thin">
        <color rgb="FF7A9FCD"/>
      </bottom>
      <diagonal/>
    </border>
    <border>
      <left style="thin">
        <color rgb="FF7A9FCD"/>
      </left>
      <right style="thin">
        <color rgb="FF7A9FCD"/>
      </right>
      <top style="thin">
        <color rgb="FF7A9FCD"/>
      </top>
      <bottom/>
      <diagonal/>
    </border>
    <border>
      <left/>
      <right style="thin">
        <color rgb="FF7A9FCD"/>
      </right>
      <top style="thin">
        <color rgb="FF7A9FCD"/>
      </top>
      <bottom style="thin">
        <color rgb="FF7A9FCD"/>
      </bottom>
      <diagonal/>
    </border>
    <border>
      <left style="thin">
        <color rgb="FF7A9FCD"/>
      </left>
      <right style="thin">
        <color rgb="FF7A9FCD"/>
      </right>
      <top/>
      <bottom style="thin">
        <color rgb="FF7A9FCD"/>
      </bottom>
      <diagonal/>
    </border>
    <border>
      <left style="thin">
        <color rgb="FF7A9FCD"/>
      </left>
      <right style="thin">
        <color rgb="FF7A9FCD"/>
      </right>
      <top style="thin">
        <color rgb="FF7A9FCD"/>
      </top>
      <bottom style="thin">
        <color rgb="FF7A9FCD"/>
      </bottom>
      <diagonal/>
    </border>
    <border>
      <left style="thin">
        <color rgb="FF7A9FCD"/>
      </left>
      <right style="thin">
        <color rgb="FF007F00"/>
      </right>
      <top style="thin">
        <color rgb="FF7A9FCD"/>
      </top>
      <bottom style="thin">
        <color rgb="FF7A9FC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/>
      <bottom style="thin">
        <color rgb="FFCCCCCC"/>
      </bottom>
      <diagonal/>
    </border>
    <border>
      <left style="thin">
        <color rgb="FF007F00"/>
      </left>
      <right style="thin">
        <color rgb="FF007F00"/>
      </right>
      <top style="thin">
        <color rgb="FF7A9FCD"/>
      </top>
      <bottom style="thin">
        <color rgb="FF7A9FCD"/>
      </bottom>
      <diagonal/>
    </border>
    <border>
      <left style="thin">
        <color rgb="FF007F00"/>
      </left>
      <right style="thin">
        <color rgb="FF7A9FCD"/>
      </right>
      <top style="thin">
        <color rgb="FF7A9FCD"/>
      </top>
      <bottom style="thin">
        <color rgb="FF7A9FCD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9" fontId="1" fillId="0" borderId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95">
    <xf numFmtId="0" fontId="0" fillId="0" borderId="0" xfId="0"/>
    <xf numFmtId="0" fontId="7" fillId="3" borderId="0" xfId="0" applyFont="1" applyFill="1" applyAlignment="1">
      <alignment horizontal="left" vertical="center" wrapText="1"/>
    </xf>
    <xf numFmtId="0" fontId="8" fillId="0" borderId="0" xfId="0" applyFont="1" applyAlignment="1">
      <alignment vertical="center"/>
    </xf>
    <xf numFmtId="0" fontId="8" fillId="2" borderId="0" xfId="0" applyFont="1" applyFill="1" applyAlignment="1">
      <alignment vertical="center" wrapText="1"/>
    </xf>
    <xf numFmtId="0" fontId="7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left" vertical="center"/>
    </xf>
    <xf numFmtId="0" fontId="10" fillId="0" borderId="0" xfId="6" applyFont="1" applyAlignment="1">
      <alignment horizontal="center" vertical="center"/>
    </xf>
    <xf numFmtId="2" fontId="10" fillId="0" borderId="2" xfId="6" applyNumberFormat="1" applyFont="1" applyBorder="1" applyAlignment="1">
      <alignment horizontal="center" vertical="center"/>
    </xf>
    <xf numFmtId="0" fontId="10" fillId="7" borderId="2" xfId="6" applyFont="1" applyFill="1" applyBorder="1" applyAlignment="1">
      <alignment horizontal="center" vertical="center"/>
    </xf>
    <xf numFmtId="0" fontId="10" fillId="0" borderId="2" xfId="6" applyFont="1" applyBorder="1" applyAlignment="1">
      <alignment horizontal="center" vertical="center"/>
    </xf>
    <xf numFmtId="0" fontId="7" fillId="9" borderId="6" xfId="6" applyFont="1" applyFill="1" applyBorder="1" applyAlignment="1">
      <alignment vertical="center"/>
    </xf>
    <xf numFmtId="0" fontId="7" fillId="9" borderId="7" xfId="6" applyFont="1" applyFill="1" applyBorder="1" applyAlignment="1">
      <alignment vertical="center"/>
    </xf>
    <xf numFmtId="0" fontId="7" fillId="9" borderId="8" xfId="6" applyFont="1" applyFill="1" applyBorder="1" applyAlignment="1">
      <alignment vertical="center"/>
    </xf>
    <xf numFmtId="0" fontId="7" fillId="9" borderId="9" xfId="6" applyFont="1" applyFill="1" applyBorder="1" applyAlignment="1">
      <alignment vertical="center"/>
    </xf>
    <xf numFmtId="0" fontId="7" fillId="9" borderId="10" xfId="6" applyFont="1" applyFill="1" applyBorder="1" applyAlignment="1">
      <alignment vertical="center"/>
    </xf>
    <xf numFmtId="0" fontId="7" fillId="9" borderId="11" xfId="6" applyFont="1" applyFill="1" applyBorder="1" applyAlignment="1">
      <alignment vertical="center"/>
    </xf>
    <xf numFmtId="10" fontId="10" fillId="0" borderId="0" xfId="6" applyNumberFormat="1" applyFont="1" applyAlignment="1">
      <alignment horizontal="center" vertical="center"/>
    </xf>
    <xf numFmtId="0" fontId="7" fillId="3" borderId="0" xfId="0" applyFont="1" applyFill="1" applyAlignment="1">
      <alignment vertical="center" wrapText="1"/>
    </xf>
    <xf numFmtId="0" fontId="8" fillId="0" borderId="0" xfId="3" applyFont="1" applyAlignment="1">
      <alignment horizontal="center" vertical="center"/>
    </xf>
    <xf numFmtId="0" fontId="8" fillId="0" borderId="0" xfId="3" applyFont="1" applyAlignment="1">
      <alignment vertical="center"/>
    </xf>
    <xf numFmtId="0" fontId="11" fillId="4" borderId="1" xfId="0" applyFont="1" applyFill="1" applyBorder="1" applyAlignment="1">
      <alignment horizontal="left" vertical="center" wrapText="1"/>
    </xf>
    <xf numFmtId="4" fontId="11" fillId="4" borderId="1" xfId="0" applyNumberFormat="1" applyFont="1" applyFill="1" applyBorder="1" applyAlignment="1">
      <alignment horizontal="right" vertical="center" wrapText="1"/>
    </xf>
    <xf numFmtId="10" fontId="8" fillId="0" borderId="0" xfId="0" applyNumberFormat="1" applyFont="1" applyAlignment="1">
      <alignment horizontal="center"/>
    </xf>
    <xf numFmtId="4" fontId="9" fillId="4" borderId="1" xfId="5" applyNumberFormat="1" applyFont="1" applyFill="1" applyBorder="1" applyAlignment="1">
      <alignment horizontal="center" vertical="center" wrapText="1"/>
    </xf>
    <xf numFmtId="10" fontId="9" fillId="4" borderId="1" xfId="5" applyNumberFormat="1" applyFont="1" applyFill="1" applyBorder="1" applyAlignment="1">
      <alignment horizontal="center" vertical="center" wrapText="1"/>
    </xf>
    <xf numFmtId="4" fontId="7" fillId="3" borderId="0" xfId="0" applyNumberFormat="1" applyFont="1" applyFill="1" applyAlignment="1">
      <alignment horizontal="center" vertical="center" wrapText="1"/>
    </xf>
    <xf numFmtId="4" fontId="8" fillId="0" borderId="0" xfId="3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6" applyFont="1" applyAlignment="1">
      <alignment vertical="center"/>
    </xf>
    <xf numFmtId="0" fontId="10" fillId="0" borderId="0" xfId="6" applyFont="1" applyAlignment="1">
      <alignment horizontal="left" vertical="center"/>
    </xf>
    <xf numFmtId="10" fontId="10" fillId="0" borderId="0" xfId="6" quotePrefix="1" applyNumberFormat="1" applyFont="1" applyAlignment="1">
      <alignment horizontal="left" vertical="center"/>
    </xf>
    <xf numFmtId="0" fontId="19" fillId="0" borderId="24" xfId="0" applyFont="1" applyBorder="1" applyAlignment="1">
      <alignment horizontal="center" vertical="center" wrapText="1"/>
    </xf>
    <xf numFmtId="0" fontId="19" fillId="12" borderId="24" xfId="0" applyFont="1" applyFill="1" applyBorder="1" applyAlignment="1">
      <alignment horizontal="center" vertical="center" wrapText="1"/>
    </xf>
    <xf numFmtId="10" fontId="17" fillId="12" borderId="24" xfId="0" applyNumberFormat="1" applyFont="1" applyFill="1" applyBorder="1" applyAlignment="1">
      <alignment horizontal="center" vertical="center" shrinkToFit="1"/>
    </xf>
    <xf numFmtId="10" fontId="17" fillId="0" borderId="24" xfId="0" applyNumberFormat="1" applyFont="1" applyBorder="1" applyAlignment="1">
      <alignment horizontal="center" vertical="center" shrinkToFit="1"/>
    </xf>
    <xf numFmtId="4" fontId="11" fillId="4" borderId="1" xfId="0" applyNumberFormat="1" applyFont="1" applyFill="1" applyBorder="1" applyAlignment="1">
      <alignment horizontal="center" vertical="center" wrapText="1"/>
    </xf>
    <xf numFmtId="4" fontId="10" fillId="0" borderId="0" xfId="6" applyNumberFormat="1" applyFont="1" applyAlignment="1">
      <alignment horizontal="center" vertical="center"/>
    </xf>
    <xf numFmtId="4" fontId="10" fillId="0" borderId="4" xfId="6" applyNumberFormat="1" applyFont="1" applyBorder="1" applyAlignment="1">
      <alignment horizontal="center" vertical="center"/>
    </xf>
    <xf numFmtId="0" fontId="12" fillId="0" borderId="2" xfId="6" applyFont="1" applyBorder="1" applyAlignment="1">
      <alignment horizontal="center" vertical="center"/>
    </xf>
    <xf numFmtId="0" fontId="7" fillId="9" borderId="6" xfId="6" applyFont="1" applyFill="1" applyBorder="1" applyAlignment="1">
      <alignment horizontal="center" vertical="center"/>
    </xf>
    <xf numFmtId="0" fontId="7" fillId="9" borderId="7" xfId="6" applyFont="1" applyFill="1" applyBorder="1" applyAlignment="1">
      <alignment horizontal="center" vertical="center"/>
    </xf>
    <xf numFmtId="4" fontId="7" fillId="9" borderId="6" xfId="6" applyNumberFormat="1" applyFont="1" applyFill="1" applyBorder="1" applyAlignment="1">
      <alignment horizontal="center" vertical="center"/>
    </xf>
    <xf numFmtId="0" fontId="10" fillId="0" borderId="5" xfId="6" applyFont="1" applyBorder="1" applyAlignment="1">
      <alignment vertical="center"/>
    </xf>
    <xf numFmtId="10" fontId="12" fillId="0" borderId="2" xfId="6" applyNumberFormat="1" applyFont="1" applyBorder="1" applyAlignment="1">
      <alignment horizontal="center" vertical="center"/>
    </xf>
    <xf numFmtId="0" fontId="10" fillId="7" borderId="3" xfId="6" applyFont="1" applyFill="1" applyBorder="1" applyAlignment="1">
      <alignment horizontal="center" vertical="center"/>
    </xf>
    <xf numFmtId="0" fontId="10" fillId="7" borderId="3" xfId="6" applyFont="1" applyFill="1" applyBorder="1" applyAlignment="1">
      <alignment vertical="center"/>
    </xf>
    <xf numFmtId="4" fontId="10" fillId="7" borderId="3" xfId="6" applyNumberFormat="1" applyFont="1" applyFill="1" applyBorder="1" applyAlignment="1">
      <alignment horizontal="center" vertical="center"/>
    </xf>
    <xf numFmtId="10" fontId="10" fillId="0" borderId="2" xfId="6" applyNumberFormat="1" applyFont="1" applyBorder="1" applyAlignment="1">
      <alignment horizontal="left" vertical="center"/>
    </xf>
    <xf numFmtId="0" fontId="10" fillId="0" borderId="2" xfId="6" applyFont="1" applyBorder="1" applyAlignment="1">
      <alignment horizontal="left" vertical="center"/>
    </xf>
    <xf numFmtId="0" fontId="10" fillId="7" borderId="2" xfId="6" applyFont="1" applyFill="1" applyBorder="1" applyAlignment="1">
      <alignment vertical="center"/>
    </xf>
    <xf numFmtId="4" fontId="10" fillId="7" borderId="2" xfId="6" applyNumberFormat="1" applyFont="1" applyFill="1" applyBorder="1" applyAlignment="1">
      <alignment horizontal="center" vertical="center"/>
    </xf>
    <xf numFmtId="0" fontId="10" fillId="7" borderId="2" xfId="6" applyFont="1" applyFill="1" applyBorder="1" applyAlignment="1">
      <alignment horizontal="left" vertical="center"/>
    </xf>
    <xf numFmtId="0" fontId="10" fillId="0" borderId="2" xfId="6" applyFont="1" applyBorder="1" applyAlignment="1">
      <alignment vertical="center"/>
    </xf>
    <xf numFmtId="4" fontId="10" fillId="0" borderId="2" xfId="6" applyNumberFormat="1" applyFont="1" applyBorder="1" applyAlignment="1">
      <alignment horizontal="center" vertical="center"/>
    </xf>
    <xf numFmtId="10" fontId="7" fillId="9" borderId="12" xfId="7" applyNumberFormat="1" applyFont="1" applyFill="1" applyBorder="1" applyAlignment="1">
      <alignment horizontal="center" vertical="center"/>
    </xf>
    <xf numFmtId="10" fontId="7" fillId="9" borderId="13" xfId="7" applyNumberFormat="1" applyFont="1" applyFill="1" applyBorder="1" applyAlignment="1">
      <alignment horizontal="center" vertical="center"/>
    </xf>
    <xf numFmtId="0" fontId="10" fillId="0" borderId="0" xfId="6" applyFont="1" applyAlignment="1">
      <alignment horizontal="left" vertical="center" wrapText="1"/>
    </xf>
    <xf numFmtId="0" fontId="13" fillId="0" borderId="0" xfId="6" applyFont="1" applyAlignment="1">
      <alignment vertical="center"/>
    </xf>
    <xf numFmtId="0" fontId="14" fillId="0" borderId="0" xfId="6" applyFont="1" applyAlignment="1">
      <alignment vertical="center"/>
    </xf>
    <xf numFmtId="43" fontId="10" fillId="0" borderId="0" xfId="6" applyNumberFormat="1" applyFont="1" applyAlignment="1">
      <alignment horizontal="center" vertical="center"/>
    </xf>
    <xf numFmtId="4" fontId="14" fillId="0" borderId="0" xfId="6" applyNumberFormat="1" applyFont="1" applyAlignment="1">
      <alignment horizontal="center" vertical="center"/>
    </xf>
    <xf numFmtId="43" fontId="13" fillId="0" borderId="0" xfId="8" applyFont="1" applyFill="1" applyAlignment="1">
      <alignment horizontal="center" vertical="center"/>
    </xf>
    <xf numFmtId="43" fontId="8" fillId="0" borderId="0" xfId="8" applyFont="1" applyFill="1" applyAlignment="1">
      <alignment horizontal="center" vertical="center"/>
    </xf>
    <xf numFmtId="0" fontId="10" fillId="8" borderId="0" xfId="6" applyFont="1" applyFill="1" applyAlignment="1">
      <alignment vertical="center"/>
    </xf>
    <xf numFmtId="0" fontId="10" fillId="5" borderId="2" xfId="6" applyFont="1" applyFill="1" applyBorder="1" applyAlignment="1">
      <alignment horizontal="center" vertical="center"/>
    </xf>
    <xf numFmtId="0" fontId="10" fillId="6" borderId="0" xfId="6" applyFont="1" applyFill="1" applyAlignment="1">
      <alignment horizontal="center" vertical="center"/>
    </xf>
    <xf numFmtId="0" fontId="10" fillId="6" borderId="0" xfId="6" applyFont="1" applyFill="1" applyAlignment="1">
      <alignment vertical="center"/>
    </xf>
    <xf numFmtId="0" fontId="10" fillId="5" borderId="0" xfId="6" applyFont="1" applyFill="1" applyAlignment="1">
      <alignment horizontal="center" vertical="center"/>
    </xf>
    <xf numFmtId="0" fontId="10" fillId="5" borderId="0" xfId="6" applyFont="1" applyFill="1" applyAlignment="1">
      <alignment vertical="center"/>
    </xf>
    <xf numFmtId="4" fontId="10" fillId="5" borderId="0" xfId="6" applyNumberFormat="1" applyFont="1" applyFill="1" applyAlignment="1">
      <alignment horizontal="center" vertical="center"/>
    </xf>
    <xf numFmtId="4" fontId="10" fillId="6" borderId="0" xfId="6" applyNumberFormat="1" applyFont="1" applyFill="1" applyAlignment="1">
      <alignment horizontal="center" vertical="center"/>
    </xf>
    <xf numFmtId="4" fontId="10" fillId="8" borderId="0" xfId="6" applyNumberFormat="1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 wrapText="1"/>
    </xf>
    <xf numFmtId="10" fontId="7" fillId="3" borderId="0" xfId="10" applyNumberFormat="1" applyFont="1" applyFill="1" applyBorder="1" applyAlignment="1">
      <alignment horizontal="center" vertical="center" wrapText="1"/>
    </xf>
    <xf numFmtId="10" fontId="7" fillId="3" borderId="0" xfId="10" applyNumberFormat="1" applyFont="1" applyFill="1" applyAlignment="1">
      <alignment horizontal="center" vertical="center" wrapText="1"/>
    </xf>
    <xf numFmtId="0" fontId="7" fillId="0" borderId="14" xfId="3" applyFont="1" applyBorder="1" applyAlignment="1">
      <alignment horizontal="centerContinuous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10" fontId="11" fillId="14" borderId="29" xfId="0" applyNumberFormat="1" applyFont="1" applyFill="1" applyBorder="1" applyAlignment="1">
      <alignment horizontal="center" vertical="center" shrinkToFit="1"/>
    </xf>
    <xf numFmtId="0" fontId="8" fillId="14" borderId="30" xfId="0" applyFont="1" applyFill="1" applyBorder="1" applyAlignment="1">
      <alignment horizontal="center" vertical="center" wrapText="1"/>
    </xf>
    <xf numFmtId="0" fontId="8" fillId="14" borderId="30" xfId="0" applyFont="1" applyFill="1" applyBorder="1" applyAlignment="1">
      <alignment horizontal="left" vertical="center" wrapText="1"/>
    </xf>
    <xf numFmtId="10" fontId="8" fillId="0" borderId="0" xfId="0" applyNumberFormat="1" applyFont="1" applyAlignment="1">
      <alignment horizontal="center" vertical="center"/>
    </xf>
    <xf numFmtId="0" fontId="8" fillId="14" borderId="1" xfId="0" applyFont="1" applyFill="1" applyBorder="1" applyAlignment="1">
      <alignment horizontal="center" vertical="center" wrapText="1"/>
    </xf>
    <xf numFmtId="4" fontId="9" fillId="14" borderId="1" xfId="0" applyNumberFormat="1" applyFont="1" applyFill="1" applyBorder="1" applyAlignment="1">
      <alignment horizontal="center" vertical="center" shrinkToFit="1"/>
    </xf>
    <xf numFmtId="4" fontId="8" fillId="3" borderId="0" xfId="0" applyNumberFormat="1" applyFont="1" applyFill="1" applyAlignment="1">
      <alignment horizontal="center" vertical="center" wrapText="1"/>
    </xf>
    <xf numFmtId="0" fontId="8" fillId="0" borderId="0" xfId="3" applyFont="1" applyAlignment="1">
      <alignment horizontal="left" vertical="center"/>
    </xf>
    <xf numFmtId="0" fontId="17" fillId="0" borderId="24" xfId="0" applyFont="1" applyBorder="1" applyAlignment="1">
      <alignment horizontal="center" vertical="top" wrapText="1"/>
    </xf>
    <xf numFmtId="0" fontId="19" fillId="0" borderId="24" xfId="0" applyFont="1" applyBorder="1" applyAlignment="1">
      <alignment horizontal="center" vertical="top" wrapText="1"/>
    </xf>
    <xf numFmtId="0" fontId="19" fillId="0" borderId="25" xfId="0" applyFont="1" applyBorder="1" applyAlignment="1">
      <alignment horizontal="left" vertical="top" wrapText="1"/>
    </xf>
    <xf numFmtId="10" fontId="17" fillId="0" borderId="31" xfId="0" applyNumberFormat="1" applyFont="1" applyBorder="1" applyAlignment="1">
      <alignment horizontal="center" vertical="top" shrinkToFit="1"/>
    </xf>
    <xf numFmtId="0" fontId="19" fillId="12" borderId="24" xfId="0" applyFont="1" applyFill="1" applyBorder="1" applyAlignment="1">
      <alignment horizontal="center" vertical="top" wrapText="1"/>
    </xf>
    <xf numFmtId="0" fontId="19" fillId="12" borderId="25" xfId="0" applyFont="1" applyFill="1" applyBorder="1" applyAlignment="1">
      <alignment horizontal="left" vertical="top" wrapText="1"/>
    </xf>
    <xf numFmtId="10" fontId="17" fillId="12" borderId="31" xfId="0" applyNumberFormat="1" applyFont="1" applyFill="1" applyBorder="1" applyAlignment="1">
      <alignment horizontal="center" vertical="top" shrinkToFit="1"/>
    </xf>
    <xf numFmtId="10" fontId="17" fillId="12" borderId="32" xfId="0" applyNumberFormat="1" applyFont="1" applyFill="1" applyBorder="1" applyAlignment="1">
      <alignment horizontal="center" vertical="top" shrinkToFit="1"/>
    </xf>
    <xf numFmtId="10" fontId="17" fillId="0" borderId="32" xfId="0" applyNumberFormat="1" applyFont="1" applyBorder="1" applyAlignment="1">
      <alignment horizontal="center" vertical="top" shrinkToFit="1"/>
    </xf>
    <xf numFmtId="10" fontId="17" fillId="12" borderId="24" xfId="0" applyNumberFormat="1" applyFont="1" applyFill="1" applyBorder="1" applyAlignment="1">
      <alignment horizontal="center" vertical="top" shrinkToFit="1"/>
    </xf>
    <xf numFmtId="10" fontId="17" fillId="0" borderId="24" xfId="0" applyNumberFormat="1" applyFont="1" applyBorder="1" applyAlignment="1">
      <alignment horizontal="center" vertical="top" shrinkToFit="1"/>
    </xf>
    <xf numFmtId="0" fontId="17" fillId="12" borderId="25" xfId="0" applyFont="1" applyFill="1" applyBorder="1" applyAlignment="1">
      <alignment horizontal="left" vertical="top" wrapText="1"/>
    </xf>
    <xf numFmtId="0" fontId="17" fillId="0" borderId="25" xfId="0" applyFont="1" applyBorder="1" applyAlignment="1">
      <alignment horizontal="left" vertical="top" wrapText="1"/>
    </xf>
    <xf numFmtId="0" fontId="18" fillId="12" borderId="24" xfId="0" applyFont="1" applyFill="1" applyBorder="1" applyAlignment="1">
      <alignment horizontal="center" vertical="top" wrapText="1"/>
    </xf>
    <xf numFmtId="0" fontId="18" fillId="12" borderId="25" xfId="0" applyFont="1" applyFill="1" applyBorder="1" applyAlignment="1">
      <alignment horizontal="center" vertical="top" wrapText="1"/>
    </xf>
    <xf numFmtId="10" fontId="20" fillId="12" borderId="32" xfId="0" applyNumberFormat="1" applyFont="1" applyFill="1" applyBorder="1" applyAlignment="1">
      <alignment horizontal="center" vertical="top" shrinkToFit="1"/>
    </xf>
    <xf numFmtId="10" fontId="20" fillId="12" borderId="24" xfId="0" applyNumberFormat="1" applyFont="1" applyFill="1" applyBorder="1" applyAlignment="1">
      <alignment horizontal="center" vertical="top" shrinkToFit="1"/>
    </xf>
    <xf numFmtId="0" fontId="19" fillId="12" borderId="24" xfId="0" applyFont="1" applyFill="1" applyBorder="1" applyAlignment="1">
      <alignment horizontal="left" vertical="top" wrapText="1"/>
    </xf>
    <xf numFmtId="0" fontId="17" fillId="12" borderId="24" xfId="0" applyFont="1" applyFill="1" applyBorder="1" applyAlignment="1">
      <alignment horizontal="center" vertical="top" wrapText="1"/>
    </xf>
    <xf numFmtId="0" fontId="17" fillId="0" borderId="24" xfId="0" applyFont="1" applyBorder="1" applyAlignment="1">
      <alignment horizontal="left" vertical="top" wrapText="1"/>
    </xf>
    <xf numFmtId="0" fontId="17" fillId="12" borderId="24" xfId="0" applyFont="1" applyFill="1" applyBorder="1" applyAlignment="1">
      <alignment horizontal="left" vertical="top" wrapText="1"/>
    </xf>
    <xf numFmtId="0" fontId="18" fillId="0" borderId="24" xfId="0" applyFont="1" applyBorder="1" applyAlignment="1">
      <alignment horizontal="center" vertical="top" wrapText="1"/>
    </xf>
    <xf numFmtId="10" fontId="20" fillId="0" borderId="24" xfId="0" applyNumberFormat="1" applyFont="1" applyBorder="1" applyAlignment="1">
      <alignment horizontal="center" vertical="top" shrinkToFit="1"/>
    </xf>
    <xf numFmtId="0" fontId="19" fillId="0" borderId="24" xfId="0" applyFont="1" applyBorder="1" applyAlignment="1">
      <alignment horizontal="left" vertical="top" wrapText="1"/>
    </xf>
    <xf numFmtId="0" fontId="17" fillId="11" borderId="19" xfId="0" applyFont="1" applyFill="1" applyBorder="1" applyAlignment="1">
      <alignment horizontal="center" vertical="top" wrapText="1"/>
    </xf>
    <xf numFmtId="0" fontId="17" fillId="11" borderId="20" xfId="0" applyFont="1" applyFill="1" applyBorder="1" applyAlignment="1">
      <alignment horizontal="center" vertical="top" wrapText="1"/>
    </xf>
    <xf numFmtId="0" fontId="15" fillId="10" borderId="18" xfId="0" applyFont="1" applyFill="1" applyBorder="1" applyAlignment="1">
      <alignment horizontal="centerContinuous" vertical="center"/>
    </xf>
    <xf numFmtId="0" fontId="17" fillId="11" borderId="19" xfId="0" applyFont="1" applyFill="1" applyBorder="1" applyAlignment="1">
      <alignment horizontal="centerContinuous" vertical="top" wrapText="1"/>
    </xf>
    <xf numFmtId="0" fontId="17" fillId="11" borderId="20" xfId="0" applyFont="1" applyFill="1" applyBorder="1" applyAlignment="1">
      <alignment horizontal="centerContinuous" vertical="top" wrapText="1"/>
    </xf>
    <xf numFmtId="0" fontId="17" fillId="10" borderId="19" xfId="0" applyFont="1" applyFill="1" applyBorder="1" applyAlignment="1">
      <alignment horizontal="centerContinuous" vertical="top" wrapText="1"/>
    </xf>
    <xf numFmtId="0" fontId="17" fillId="10" borderId="22" xfId="0" applyFont="1" applyFill="1" applyBorder="1" applyAlignment="1">
      <alignment horizontal="centerContinuous" vertical="top" wrapText="1"/>
    </xf>
    <xf numFmtId="0" fontId="18" fillId="0" borderId="21" xfId="0" applyFont="1" applyBorder="1" applyAlignment="1">
      <alignment horizontal="centerContinuous" vertical="top" wrapText="1"/>
    </xf>
    <xf numFmtId="0" fontId="18" fillId="0" borderId="23" xfId="0" applyFont="1" applyBorder="1" applyAlignment="1">
      <alignment horizontal="centerContinuous" vertical="top" wrapText="1"/>
    </xf>
    <xf numFmtId="0" fontId="17" fillId="0" borderId="24" xfId="0" applyFont="1" applyBorder="1" applyAlignment="1">
      <alignment horizontal="centerContinuous" vertical="top" wrapText="1"/>
    </xf>
    <xf numFmtId="0" fontId="18" fillId="11" borderId="19" xfId="0" applyFont="1" applyFill="1" applyBorder="1" applyAlignment="1">
      <alignment horizontal="centerContinuous" vertical="top" wrapText="1"/>
    </xf>
    <xf numFmtId="0" fontId="18" fillId="11" borderId="22" xfId="0" applyFont="1" applyFill="1" applyBorder="1" applyAlignment="1">
      <alignment horizontal="centerContinuous" vertical="top" wrapText="1"/>
    </xf>
    <xf numFmtId="10" fontId="16" fillId="11" borderId="24" xfId="0" applyNumberFormat="1" applyFont="1" applyFill="1" applyBorder="1" applyAlignment="1">
      <alignment horizontal="centerContinuous" vertical="top" shrinkToFit="1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 wrapText="1"/>
    </xf>
    <xf numFmtId="0" fontId="11" fillId="0" borderId="0" xfId="2" applyFont="1" applyAlignment="1">
      <alignment horizontal="center" vertical="center"/>
    </xf>
    <xf numFmtId="10" fontId="11" fillId="0" borderId="0" xfId="1" applyNumberFormat="1" applyFont="1" applyAlignment="1">
      <alignment horizontal="center" vertical="center"/>
    </xf>
    <xf numFmtId="0" fontId="11" fillId="2" borderId="0" xfId="0" applyFont="1" applyFill="1" applyAlignment="1">
      <alignment vertical="center" wrapText="1"/>
    </xf>
    <xf numFmtId="0" fontId="11" fillId="0" borderId="0" xfId="0" applyFont="1" applyAlignment="1">
      <alignment horizontal="center" vertical="center"/>
    </xf>
    <xf numFmtId="4" fontId="11" fillId="0" borderId="0" xfId="0" applyNumberFormat="1" applyFont="1" applyAlignment="1">
      <alignment horizontal="center" vertical="center"/>
    </xf>
    <xf numFmtId="4" fontId="9" fillId="0" borderId="0" xfId="0" applyNumberFormat="1" applyFont="1" applyAlignment="1">
      <alignment horizontal="center" vertical="center"/>
    </xf>
    <xf numFmtId="4" fontId="11" fillId="2" borderId="0" xfId="0" applyNumberFormat="1" applyFont="1" applyFill="1" applyAlignment="1">
      <alignment horizontal="center" vertical="center" wrapText="1"/>
    </xf>
    <xf numFmtId="0" fontId="11" fillId="4" borderId="1" xfId="0" quotePrefix="1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left" vertical="center" wrapText="1"/>
    </xf>
    <xf numFmtId="0" fontId="20" fillId="13" borderId="0" xfId="0" applyFont="1" applyFill="1" applyAlignment="1">
      <alignment horizontal="left" vertical="center" wrapText="1"/>
    </xf>
    <xf numFmtId="0" fontId="11" fillId="3" borderId="0" xfId="0" applyFont="1" applyFill="1" applyAlignment="1">
      <alignment vertical="center" wrapText="1"/>
    </xf>
    <xf numFmtId="0" fontId="11" fillId="2" borderId="0" xfId="0" applyFont="1" applyFill="1" applyAlignment="1">
      <alignment horizontal="centerContinuous" vertical="center" wrapText="1"/>
    </xf>
    <xf numFmtId="0" fontId="11" fillId="2" borderId="33" xfId="0" applyFont="1" applyFill="1" applyBorder="1" applyAlignment="1">
      <alignment horizontal="centerContinuous" vertical="center" wrapText="1"/>
    </xf>
    <xf numFmtId="0" fontId="11" fillId="2" borderId="34" xfId="0" applyFont="1" applyFill="1" applyBorder="1" applyAlignment="1">
      <alignment horizontal="centerContinuous" vertical="center" wrapText="1"/>
    </xf>
    <xf numFmtId="0" fontId="11" fillId="2" borderId="35" xfId="0" applyFont="1" applyFill="1" applyBorder="1" applyAlignment="1">
      <alignment horizontal="centerContinuous" vertical="center" wrapText="1"/>
    </xf>
    <xf numFmtId="0" fontId="11" fillId="2" borderId="29" xfId="0" applyFont="1" applyFill="1" applyBorder="1" applyAlignment="1">
      <alignment horizontal="center" vertical="center" wrapText="1"/>
    </xf>
    <xf numFmtId="0" fontId="11" fillId="2" borderId="36" xfId="0" applyFont="1" applyFill="1" applyBorder="1" applyAlignment="1">
      <alignment horizontal="center" vertical="center" wrapText="1"/>
    </xf>
    <xf numFmtId="4" fontId="9" fillId="2" borderId="36" xfId="0" applyNumberFormat="1" applyFont="1" applyFill="1" applyBorder="1" applyAlignment="1">
      <alignment horizontal="center" vertical="center" wrapText="1"/>
    </xf>
    <xf numFmtId="0" fontId="9" fillId="0" borderId="0" xfId="2" applyFont="1" applyAlignment="1">
      <alignment vertical="center"/>
    </xf>
    <xf numFmtId="0" fontId="11" fillId="3" borderId="0" xfId="2" applyFont="1" applyFill="1" applyAlignment="1">
      <alignment horizontal="left" vertical="center" wrapText="1"/>
    </xf>
    <xf numFmtId="0" fontId="11" fillId="3" borderId="0" xfId="0" applyFont="1" applyFill="1" applyAlignment="1">
      <alignment horizontal="left" vertical="center" wrapText="1"/>
    </xf>
    <xf numFmtId="0" fontId="11" fillId="3" borderId="0" xfId="0" applyFont="1" applyFill="1" applyAlignment="1">
      <alignment horizontal="centerContinuous" vertical="center" wrapText="1"/>
    </xf>
    <xf numFmtId="0" fontId="20" fillId="13" borderId="1" xfId="0" applyFont="1" applyFill="1" applyBorder="1" applyAlignment="1">
      <alignment horizontal="left" vertical="center" wrapText="1"/>
    </xf>
    <xf numFmtId="0" fontId="20" fillId="13" borderId="1" xfId="0" applyFont="1" applyFill="1" applyBorder="1" applyAlignment="1">
      <alignment horizontal="right" vertical="center" wrapText="1"/>
    </xf>
    <xf numFmtId="0" fontId="20" fillId="13" borderId="1" xfId="0" applyFont="1" applyFill="1" applyBorder="1" applyAlignment="1">
      <alignment horizontal="center" vertical="center" wrapText="1"/>
    </xf>
    <xf numFmtId="0" fontId="9" fillId="0" borderId="0" xfId="2" applyFont="1" applyAlignment="1">
      <alignment vertical="center" wrapText="1"/>
    </xf>
    <xf numFmtId="0" fontId="9" fillId="0" borderId="0" xfId="0" applyFont="1" applyAlignment="1">
      <alignment horizontal="centerContinuous" vertical="center" wrapText="1"/>
    </xf>
    <xf numFmtId="0" fontId="17" fillId="0" borderId="0" xfId="0" applyFont="1" applyAlignment="1">
      <alignment vertical="center" wrapText="1"/>
    </xf>
    <xf numFmtId="0" fontId="21" fillId="0" borderId="0" xfId="0" applyFont="1" applyAlignment="1">
      <alignment horizontal="centerContinuous"/>
    </xf>
    <xf numFmtId="0" fontId="22" fillId="0" borderId="0" xfId="0" applyFont="1" applyAlignment="1">
      <alignment horizontal="centerContinuous"/>
    </xf>
    <xf numFmtId="0" fontId="22" fillId="0" borderId="0" xfId="0" applyFont="1"/>
    <xf numFmtId="0" fontId="21" fillId="0" borderId="0" xfId="0" applyFont="1"/>
    <xf numFmtId="0" fontId="22" fillId="0" borderId="0" xfId="0" applyFont="1" applyAlignment="1">
      <alignment horizontal="center"/>
    </xf>
    <xf numFmtId="14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left"/>
    </xf>
    <xf numFmtId="0" fontId="11" fillId="3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/>
    </xf>
    <xf numFmtId="0" fontId="11" fillId="2" borderId="0" xfId="0" applyFont="1" applyFill="1" applyAlignment="1" applyProtection="1">
      <alignment horizontal="center" vertical="center" wrapText="1"/>
      <protection hidden="1"/>
    </xf>
    <xf numFmtId="4" fontId="11" fillId="0" borderId="0" xfId="0" applyNumberFormat="1" applyFont="1" applyAlignment="1" applyProtection="1">
      <alignment horizontal="center" vertical="center"/>
      <protection hidden="1"/>
    </xf>
    <xf numFmtId="10" fontId="11" fillId="3" borderId="0" xfId="0" applyNumberFormat="1" applyFont="1" applyFill="1" applyAlignment="1" applyProtection="1">
      <alignment horizontal="left" vertical="center" wrapText="1"/>
      <protection hidden="1"/>
    </xf>
    <xf numFmtId="4" fontId="9" fillId="2" borderId="36" xfId="0" applyNumberFormat="1" applyFont="1" applyFill="1" applyBorder="1" applyAlignment="1" applyProtection="1">
      <alignment horizontal="center" vertical="center" wrapText="1"/>
      <protection hidden="1"/>
    </xf>
    <xf numFmtId="0" fontId="9" fillId="2" borderId="36" xfId="0" applyFont="1" applyFill="1" applyBorder="1" applyAlignment="1" applyProtection="1">
      <alignment horizontal="center" vertical="center" wrapText="1"/>
      <protection hidden="1"/>
    </xf>
    <xf numFmtId="4" fontId="11" fillId="2" borderId="0" xfId="0" applyNumberFormat="1" applyFont="1" applyFill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vertical="center"/>
      <protection hidden="1"/>
    </xf>
    <xf numFmtId="0" fontId="22" fillId="15" borderId="0" xfId="0" applyFont="1" applyFill="1"/>
    <xf numFmtId="10" fontId="9" fillId="14" borderId="1" xfId="0" applyNumberFormat="1" applyFont="1" applyFill="1" applyBorder="1" applyAlignment="1">
      <alignment horizontal="center" vertical="center" shrinkToFit="1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left" vertical="center" wrapText="1"/>
    </xf>
    <xf numFmtId="0" fontId="20" fillId="0" borderId="0" xfId="0" applyFont="1" applyAlignment="1">
      <alignment horizontal="right" vertical="center" wrapText="1"/>
    </xf>
    <xf numFmtId="4" fontId="20" fillId="0" borderId="0" xfId="0" applyNumberFormat="1" applyFont="1" applyAlignment="1">
      <alignment horizontal="right" vertical="center" wrapText="1"/>
    </xf>
    <xf numFmtId="164" fontId="20" fillId="0" borderId="0" xfId="0" applyNumberFormat="1" applyFont="1" applyAlignment="1">
      <alignment horizontal="right" vertical="center" wrapText="1"/>
    </xf>
    <xf numFmtId="0" fontId="7" fillId="0" borderId="14" xfId="3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0" fontId="7" fillId="0" borderId="15" xfId="3" applyFont="1" applyBorder="1" applyAlignment="1">
      <alignment horizontal="center" vertical="center"/>
    </xf>
    <xf numFmtId="0" fontId="7" fillId="0" borderId="16" xfId="3" applyFont="1" applyBorder="1" applyAlignment="1">
      <alignment horizontal="center" vertical="center"/>
    </xf>
    <xf numFmtId="10" fontId="7" fillId="3" borderId="0" xfId="10" applyNumberFormat="1" applyFont="1" applyFill="1" applyBorder="1" applyAlignment="1">
      <alignment horizontal="center" vertical="center" wrapText="1"/>
    </xf>
    <xf numFmtId="0" fontId="7" fillId="3" borderId="0" xfId="0" applyFont="1" applyFill="1" applyAlignment="1">
      <alignment horizontal="left" vertical="center" wrapText="1"/>
    </xf>
    <xf numFmtId="4" fontId="7" fillId="3" borderId="0" xfId="0" applyNumberFormat="1" applyFont="1" applyFill="1" applyAlignment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10" fontId="7" fillId="3" borderId="0" xfId="10" applyNumberFormat="1" applyFont="1" applyFill="1" applyAlignment="1">
      <alignment horizontal="center" vertical="center" wrapText="1"/>
    </xf>
    <xf numFmtId="0" fontId="20" fillId="13" borderId="0" xfId="0" applyFont="1" applyFill="1" applyAlignment="1">
      <alignment horizontal="left" vertical="center" wrapText="1"/>
    </xf>
    <xf numFmtId="0" fontId="12" fillId="0" borderId="0" xfId="6" applyFont="1" applyAlignment="1">
      <alignment horizontal="center" vertical="center"/>
    </xf>
    <xf numFmtId="0" fontId="7" fillId="0" borderId="17" xfId="6" applyFont="1" applyBorder="1" applyAlignment="1">
      <alignment horizontal="center" vertical="center"/>
    </xf>
    <xf numFmtId="0" fontId="12" fillId="0" borderId="26" xfId="6" applyFont="1" applyBorder="1" applyAlignment="1">
      <alignment horizontal="center" vertical="center"/>
    </xf>
    <xf numFmtId="0" fontId="12" fillId="0" borderId="27" xfId="6" applyFont="1" applyBorder="1" applyAlignment="1">
      <alignment horizontal="center" vertical="center"/>
    </xf>
    <xf numFmtId="0" fontId="12" fillId="0" borderId="28" xfId="6" applyFont="1" applyBorder="1" applyAlignment="1">
      <alignment horizontal="center" vertical="center"/>
    </xf>
    <xf numFmtId="0" fontId="20" fillId="13" borderId="1" xfId="0" applyFont="1" applyFill="1" applyBorder="1" applyAlignment="1">
      <alignment horizontal="left" vertical="center" wrapText="1"/>
    </xf>
  </cellXfs>
  <cellStyles count="11">
    <cellStyle name="Normal" xfId="0" builtinId="0"/>
    <cellStyle name="Normal 183" xfId="3" xr:uid="{547C4668-C95C-4AA5-B5F5-CC3D947217F1}"/>
    <cellStyle name="Normal 2" xfId="2" xr:uid="{E4346E9A-409B-44AE-B17D-F2BFEA76B24B}"/>
    <cellStyle name="Normal 3" xfId="6" xr:uid="{9200B734-6EE5-4A4E-A55E-111EE523784A}"/>
    <cellStyle name="Porcentagem" xfId="1" builtinId="5"/>
    <cellStyle name="Porcentagem 2" xfId="5" xr:uid="{E951B261-EAE2-4097-A37D-93E2D26F40FE}"/>
    <cellStyle name="Porcentagem 3" xfId="7" xr:uid="{ACFAE2DC-E192-46B8-903C-F17A0DFFD479}"/>
    <cellStyle name="Porcentagem 4" xfId="9" xr:uid="{0B53C394-2283-4DF7-9255-6289C74AE0B6}"/>
    <cellStyle name="Porcentagem 5" xfId="10" xr:uid="{386D23F6-F0A6-4A1B-9547-DF5D19FFB8DD}"/>
    <cellStyle name="Vírgula 2" xfId="4" xr:uid="{41074DC0-A48C-4B71-A236-766EA82C0D0D}"/>
    <cellStyle name="Vírgula 3" xfId="8" xr:uid="{2950A7E5-1B39-4C21-85F8-8ABDE2446735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Mono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Mono"/>
        <family val="3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Mono"/>
        <family val="3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Mono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Mono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Mono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Mono"/>
        <family val="3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Mono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Mono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Mono"/>
        <family val="3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Mono"/>
        <family val="3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FCC"/>
      <rgbColor rgb="FFD8ECF6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FF0D8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1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23/09/relationships/Python" Target="python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CopiarEncargosSociais" textlink="">
      <xdr:nvSpPr>
        <xdr:cNvPr id="2" name="Retângulo 1">
          <a:extLst>
            <a:ext uri="{FF2B5EF4-FFF2-40B4-BE49-F238E27FC236}">
              <a16:creationId xmlns:a16="http://schemas.microsoft.com/office/drawing/2014/main" id="{5A10C248-9E23-9375-62F2-3AD04B5CB76C}"/>
            </a:ext>
          </a:extLst>
        </xdr:cNvPr>
        <xdr:cNvSpPr/>
      </xdr:nvSpPr>
      <xdr:spPr>
        <a:xfrm>
          <a:off x="7706139" y="165652"/>
          <a:ext cx="1325218" cy="165652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IMPORTAR 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70348</xdr:colOff>
      <xdr:row>4</xdr:row>
      <xdr:rowOff>100298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80A42DCA-1E72-DDCD-7339-3DA9559EB10D}"/>
            </a:ext>
          </a:extLst>
        </xdr:cNvPr>
        <xdr:cNvGrpSpPr/>
      </xdr:nvGrpSpPr>
      <xdr:grpSpPr>
        <a:xfrm>
          <a:off x="0" y="0"/>
          <a:ext cx="10441168" cy="801338"/>
          <a:chOff x="0" y="0"/>
          <a:chExt cx="10288768" cy="770858"/>
        </a:xfrm>
      </xdr:grpSpPr>
      <xdr:sp macro="[0]!ImportarDados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86D40FF4-B61B-4FE1-ACDB-FA9F4CF0AA6E}"/>
              </a:ext>
            </a:extLst>
          </xdr:cNvPr>
          <xdr:cNvSpPr/>
        </xdr:nvSpPr>
        <xdr:spPr>
          <a:xfrm>
            <a:off x="0" y="0"/>
            <a:ext cx="1484458" cy="364805"/>
          </a:xfrm>
          <a:prstGeom prst="rect">
            <a:avLst/>
          </a:prstGeom>
          <a:ln>
            <a:solidFill>
              <a:schemeClr val="bg1"/>
            </a:solidFill>
            <a:headEnd type="none" w="med" len="med"/>
            <a:tailEnd type="none" w="med" len="med"/>
            <a:extLst>
              <a:ext uri="{C807C97D-BFC1-408E-A445-0C87EB9F89A2}">
                <ask:lineSketchStyleProps xmlns:ask="http://schemas.microsoft.com/office/drawing/2018/sketchyshapes" sd="1219033472">
                  <a:custGeom>
                    <a:avLst/>
                    <a:gdLst>
                      <a:gd name="connsiteX0" fmla="*/ 0 w 1392666"/>
                      <a:gd name="connsiteY0" fmla="*/ 0 h 366666"/>
                      <a:gd name="connsiteX1" fmla="*/ 724186 w 1392666"/>
                      <a:gd name="connsiteY1" fmla="*/ 0 h 366666"/>
                      <a:gd name="connsiteX2" fmla="*/ 1392666 w 1392666"/>
                      <a:gd name="connsiteY2" fmla="*/ 0 h 366666"/>
                      <a:gd name="connsiteX3" fmla="*/ 1392666 w 1392666"/>
                      <a:gd name="connsiteY3" fmla="*/ 366666 h 366666"/>
                      <a:gd name="connsiteX4" fmla="*/ 710260 w 1392666"/>
                      <a:gd name="connsiteY4" fmla="*/ 366666 h 366666"/>
                      <a:gd name="connsiteX5" fmla="*/ 0 w 1392666"/>
                      <a:gd name="connsiteY5" fmla="*/ 366666 h 366666"/>
                      <a:gd name="connsiteX6" fmla="*/ 0 w 1392666"/>
                      <a:gd name="connsiteY6" fmla="*/ 0 h 36666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</a:cxnLst>
                    <a:rect l="l" t="t" r="r" b="b"/>
                    <a:pathLst>
                      <a:path w="1392666" h="366666" fill="none" extrusionOk="0">
                        <a:moveTo>
                          <a:pt x="0" y="0"/>
                        </a:moveTo>
                        <a:cubicBezTo>
                          <a:pt x="200458" y="27359"/>
                          <a:pt x="548678" y="7089"/>
                          <a:pt x="724186" y="0"/>
                        </a:cubicBezTo>
                        <a:cubicBezTo>
                          <a:pt x="899694" y="-7089"/>
                          <a:pt x="1156358" y="-32629"/>
                          <a:pt x="1392666" y="0"/>
                        </a:cubicBezTo>
                        <a:cubicBezTo>
                          <a:pt x="1381768" y="169651"/>
                          <a:pt x="1385091" y="220188"/>
                          <a:pt x="1392666" y="366666"/>
                        </a:cubicBezTo>
                        <a:cubicBezTo>
                          <a:pt x="1186972" y="339107"/>
                          <a:pt x="895971" y="356270"/>
                          <a:pt x="710260" y="366666"/>
                        </a:cubicBezTo>
                        <a:cubicBezTo>
                          <a:pt x="524549" y="377062"/>
                          <a:pt x="278120" y="362630"/>
                          <a:pt x="0" y="366666"/>
                        </a:cubicBezTo>
                        <a:cubicBezTo>
                          <a:pt x="-5086" y="200848"/>
                          <a:pt x="-3409" y="102669"/>
                          <a:pt x="0" y="0"/>
                        </a:cubicBezTo>
                        <a:close/>
                      </a:path>
                      <a:path w="1392666" h="366666" stroke="0" extrusionOk="0">
                        <a:moveTo>
                          <a:pt x="0" y="0"/>
                        </a:moveTo>
                        <a:cubicBezTo>
                          <a:pt x="304383" y="-6976"/>
                          <a:pt x="353481" y="-3261"/>
                          <a:pt x="682406" y="0"/>
                        </a:cubicBezTo>
                        <a:cubicBezTo>
                          <a:pt x="1011331" y="3261"/>
                          <a:pt x="1241420" y="746"/>
                          <a:pt x="1392666" y="0"/>
                        </a:cubicBezTo>
                        <a:cubicBezTo>
                          <a:pt x="1374406" y="127601"/>
                          <a:pt x="1408721" y="273322"/>
                          <a:pt x="1392666" y="366666"/>
                        </a:cubicBezTo>
                        <a:cubicBezTo>
                          <a:pt x="1148058" y="335574"/>
                          <a:pt x="944324" y="366224"/>
                          <a:pt x="696333" y="366666"/>
                        </a:cubicBezTo>
                        <a:cubicBezTo>
                          <a:pt x="448342" y="367108"/>
                          <a:pt x="330188" y="362738"/>
                          <a:pt x="0" y="366666"/>
                        </a:cubicBezTo>
                        <a:cubicBezTo>
                          <a:pt x="16383" y="209156"/>
                          <a:pt x="6632" y="88377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/>
              <a:t>IMPORTAR TUDO</a:t>
            </a:r>
          </a:p>
        </xdr:txBody>
      </xdr:sp>
      <xdr:sp macro="[0]!LimparTudo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AA98E36F-45FE-497E-B203-24FFA151E1DC}"/>
              </a:ext>
            </a:extLst>
          </xdr:cNvPr>
          <xdr:cNvSpPr/>
        </xdr:nvSpPr>
        <xdr:spPr>
          <a:xfrm>
            <a:off x="8814336" y="0"/>
            <a:ext cx="1474432" cy="364805"/>
          </a:xfrm>
          <a:prstGeom prst="rect">
            <a:avLst/>
          </a:prstGeom>
          <a:ln>
            <a:solidFill>
              <a:schemeClr val="bg1"/>
            </a:solidFill>
            <a:headEnd type="none" w="med" len="med"/>
            <a:tailEnd type="none" w="med" len="med"/>
            <a:extLst>
              <a:ext uri="{C807C97D-BFC1-408E-A445-0C87EB9F89A2}">
                <ask:lineSketchStyleProps xmlns:ask="http://schemas.microsoft.com/office/drawing/2018/sketchyshapes" sd="3705000160">
                  <a:custGeom>
                    <a:avLst/>
                    <a:gdLst>
                      <a:gd name="connsiteX0" fmla="*/ 0 w 1385048"/>
                      <a:gd name="connsiteY0" fmla="*/ 0 h 366666"/>
                      <a:gd name="connsiteX1" fmla="*/ 650973 w 1385048"/>
                      <a:gd name="connsiteY1" fmla="*/ 0 h 366666"/>
                      <a:gd name="connsiteX2" fmla="*/ 1385048 w 1385048"/>
                      <a:gd name="connsiteY2" fmla="*/ 0 h 366666"/>
                      <a:gd name="connsiteX3" fmla="*/ 1385048 w 1385048"/>
                      <a:gd name="connsiteY3" fmla="*/ 366666 h 366666"/>
                      <a:gd name="connsiteX4" fmla="*/ 678674 w 1385048"/>
                      <a:gd name="connsiteY4" fmla="*/ 366666 h 366666"/>
                      <a:gd name="connsiteX5" fmla="*/ 0 w 1385048"/>
                      <a:gd name="connsiteY5" fmla="*/ 366666 h 366666"/>
                      <a:gd name="connsiteX6" fmla="*/ 0 w 1385048"/>
                      <a:gd name="connsiteY6" fmla="*/ 0 h 36666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</a:cxnLst>
                    <a:rect l="l" t="t" r="r" b="b"/>
                    <a:pathLst>
                      <a:path w="1385048" h="366666" fill="none" extrusionOk="0">
                        <a:moveTo>
                          <a:pt x="0" y="0"/>
                        </a:moveTo>
                        <a:cubicBezTo>
                          <a:pt x="323057" y="1960"/>
                          <a:pt x="505517" y="14994"/>
                          <a:pt x="650973" y="0"/>
                        </a:cubicBezTo>
                        <a:cubicBezTo>
                          <a:pt x="796429" y="-14994"/>
                          <a:pt x="1201851" y="-20118"/>
                          <a:pt x="1385048" y="0"/>
                        </a:cubicBezTo>
                        <a:cubicBezTo>
                          <a:pt x="1370546" y="105783"/>
                          <a:pt x="1389910" y="212283"/>
                          <a:pt x="1385048" y="366666"/>
                        </a:cubicBezTo>
                        <a:cubicBezTo>
                          <a:pt x="1200238" y="359471"/>
                          <a:pt x="920067" y="346332"/>
                          <a:pt x="678674" y="366666"/>
                        </a:cubicBezTo>
                        <a:cubicBezTo>
                          <a:pt x="437281" y="387000"/>
                          <a:pt x="208497" y="392428"/>
                          <a:pt x="0" y="366666"/>
                        </a:cubicBezTo>
                        <a:cubicBezTo>
                          <a:pt x="8130" y="286644"/>
                          <a:pt x="14187" y="172171"/>
                          <a:pt x="0" y="0"/>
                        </a:cubicBezTo>
                        <a:close/>
                      </a:path>
                      <a:path w="1385048" h="366666" stroke="0" extrusionOk="0">
                        <a:moveTo>
                          <a:pt x="0" y="0"/>
                        </a:moveTo>
                        <a:cubicBezTo>
                          <a:pt x="183677" y="-11398"/>
                          <a:pt x="380248" y="-13032"/>
                          <a:pt x="664823" y="0"/>
                        </a:cubicBezTo>
                        <a:cubicBezTo>
                          <a:pt x="949398" y="13032"/>
                          <a:pt x="1187218" y="28460"/>
                          <a:pt x="1385048" y="0"/>
                        </a:cubicBezTo>
                        <a:cubicBezTo>
                          <a:pt x="1374086" y="87225"/>
                          <a:pt x="1382137" y="267603"/>
                          <a:pt x="1385048" y="366666"/>
                        </a:cubicBezTo>
                        <a:cubicBezTo>
                          <a:pt x="1150771" y="364430"/>
                          <a:pt x="971579" y="359639"/>
                          <a:pt x="692524" y="366666"/>
                        </a:cubicBezTo>
                        <a:cubicBezTo>
                          <a:pt x="413469" y="373693"/>
                          <a:pt x="300632" y="351206"/>
                          <a:pt x="0" y="366666"/>
                        </a:cubicBezTo>
                        <a:cubicBezTo>
                          <a:pt x="-8672" y="243409"/>
                          <a:pt x="-8026" y="109771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/>
              <a:t>LIMPAR TUDO</a:t>
            </a:r>
          </a:p>
        </xdr:txBody>
      </xdr:sp>
      <xdr:sp macro="[0]!ChamarImportarSintetico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B4AB5B38-580D-4CAD-8501-922DAAB7E269}"/>
              </a:ext>
            </a:extLst>
          </xdr:cNvPr>
          <xdr:cNvSpPr/>
        </xdr:nvSpPr>
        <xdr:spPr>
          <a:xfrm>
            <a:off x="1470909" y="0"/>
            <a:ext cx="1469794" cy="364805"/>
          </a:xfrm>
          <a:prstGeom prst="rect">
            <a:avLst/>
          </a:prstGeom>
          <a:ln>
            <a:solidFill>
              <a:schemeClr val="bg1"/>
            </a:solidFill>
            <a:headEnd type="none" w="med" len="med"/>
            <a:tailEnd type="none" w="med" len="med"/>
            <a:extLst>
              <a:ext uri="{C807C97D-BFC1-408E-A445-0C87EB9F89A2}">
                <ask:lineSketchStyleProps xmlns:ask="http://schemas.microsoft.com/office/drawing/2018/sketchyshapes" sd="158228927">
                  <a:custGeom>
                    <a:avLst/>
                    <a:gdLst>
                      <a:gd name="connsiteX0" fmla="*/ 0 w 1386952"/>
                      <a:gd name="connsiteY0" fmla="*/ 0 h 366666"/>
                      <a:gd name="connsiteX1" fmla="*/ 707346 w 1386952"/>
                      <a:gd name="connsiteY1" fmla="*/ 0 h 366666"/>
                      <a:gd name="connsiteX2" fmla="*/ 1386952 w 1386952"/>
                      <a:gd name="connsiteY2" fmla="*/ 0 h 366666"/>
                      <a:gd name="connsiteX3" fmla="*/ 1386952 w 1386952"/>
                      <a:gd name="connsiteY3" fmla="*/ 366666 h 366666"/>
                      <a:gd name="connsiteX4" fmla="*/ 665737 w 1386952"/>
                      <a:gd name="connsiteY4" fmla="*/ 366666 h 366666"/>
                      <a:gd name="connsiteX5" fmla="*/ 0 w 1386952"/>
                      <a:gd name="connsiteY5" fmla="*/ 366666 h 366666"/>
                      <a:gd name="connsiteX6" fmla="*/ 0 w 1386952"/>
                      <a:gd name="connsiteY6" fmla="*/ 0 h 36666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</a:cxnLst>
                    <a:rect l="l" t="t" r="r" b="b"/>
                    <a:pathLst>
                      <a:path w="1386952" h="366666" fill="none" extrusionOk="0">
                        <a:moveTo>
                          <a:pt x="0" y="0"/>
                        </a:moveTo>
                        <a:cubicBezTo>
                          <a:pt x="200920" y="-8179"/>
                          <a:pt x="431955" y="10524"/>
                          <a:pt x="707346" y="0"/>
                        </a:cubicBezTo>
                        <a:cubicBezTo>
                          <a:pt x="982737" y="-10524"/>
                          <a:pt x="1182694" y="-10312"/>
                          <a:pt x="1386952" y="0"/>
                        </a:cubicBezTo>
                        <a:cubicBezTo>
                          <a:pt x="1390832" y="123031"/>
                          <a:pt x="1399607" y="246848"/>
                          <a:pt x="1386952" y="366666"/>
                        </a:cubicBezTo>
                        <a:cubicBezTo>
                          <a:pt x="1170380" y="376365"/>
                          <a:pt x="953332" y="331858"/>
                          <a:pt x="665737" y="366666"/>
                        </a:cubicBezTo>
                        <a:cubicBezTo>
                          <a:pt x="378143" y="401474"/>
                          <a:pt x="144730" y="398600"/>
                          <a:pt x="0" y="366666"/>
                        </a:cubicBezTo>
                        <a:cubicBezTo>
                          <a:pt x="-1530" y="216128"/>
                          <a:pt x="13855" y="113087"/>
                          <a:pt x="0" y="0"/>
                        </a:cubicBezTo>
                        <a:close/>
                      </a:path>
                      <a:path w="1386952" h="366666" stroke="0" extrusionOk="0">
                        <a:moveTo>
                          <a:pt x="0" y="0"/>
                        </a:moveTo>
                        <a:cubicBezTo>
                          <a:pt x="206654" y="-32448"/>
                          <a:pt x="499794" y="14023"/>
                          <a:pt x="665737" y="0"/>
                        </a:cubicBezTo>
                        <a:cubicBezTo>
                          <a:pt x="831680" y="-14023"/>
                          <a:pt x="1224955" y="7422"/>
                          <a:pt x="1386952" y="0"/>
                        </a:cubicBezTo>
                        <a:cubicBezTo>
                          <a:pt x="1370234" y="119413"/>
                          <a:pt x="1380493" y="241222"/>
                          <a:pt x="1386952" y="366666"/>
                        </a:cubicBezTo>
                        <a:cubicBezTo>
                          <a:pt x="1104781" y="375922"/>
                          <a:pt x="907837" y="374128"/>
                          <a:pt x="679606" y="366666"/>
                        </a:cubicBezTo>
                        <a:cubicBezTo>
                          <a:pt x="451375" y="359204"/>
                          <a:pt x="150176" y="333963"/>
                          <a:pt x="0" y="366666"/>
                        </a:cubicBezTo>
                        <a:cubicBezTo>
                          <a:pt x="535" y="292730"/>
                          <a:pt x="6627" y="9786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/>
              <a:t>IMPORTAR SINTÉTICO</a:t>
            </a:r>
          </a:p>
        </xdr:txBody>
      </xdr:sp>
      <xdr:sp macro="[0]!ChamarImportarSinteticoRef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B07D7E28-2F99-4DA3-941F-532A15F76537}"/>
              </a:ext>
            </a:extLst>
          </xdr:cNvPr>
          <xdr:cNvSpPr/>
        </xdr:nvSpPr>
        <xdr:spPr>
          <a:xfrm>
            <a:off x="2941943" y="0"/>
            <a:ext cx="1475696" cy="364805"/>
          </a:xfrm>
          <a:prstGeom prst="rect">
            <a:avLst/>
          </a:prstGeom>
          <a:ln>
            <a:solidFill>
              <a:schemeClr val="bg1"/>
            </a:solidFill>
            <a:headEnd type="none" w="med" len="med"/>
            <a:tailEnd type="none" w="med" len="med"/>
            <a:extLst>
              <a:ext uri="{C807C97D-BFC1-408E-A445-0C87EB9F89A2}">
                <ask:lineSketchStyleProps xmlns:ask="http://schemas.microsoft.com/office/drawing/2018/sketchyshapes" sd="1346402959">
                  <a:custGeom>
                    <a:avLst/>
                    <a:gdLst>
                      <a:gd name="connsiteX0" fmla="*/ 0 w 1389808"/>
                      <a:gd name="connsiteY0" fmla="*/ 0 h 366666"/>
                      <a:gd name="connsiteX1" fmla="*/ 722700 w 1389808"/>
                      <a:gd name="connsiteY1" fmla="*/ 0 h 366666"/>
                      <a:gd name="connsiteX2" fmla="*/ 1389808 w 1389808"/>
                      <a:gd name="connsiteY2" fmla="*/ 0 h 366666"/>
                      <a:gd name="connsiteX3" fmla="*/ 1389808 w 1389808"/>
                      <a:gd name="connsiteY3" fmla="*/ 366666 h 366666"/>
                      <a:gd name="connsiteX4" fmla="*/ 681006 w 1389808"/>
                      <a:gd name="connsiteY4" fmla="*/ 366666 h 366666"/>
                      <a:gd name="connsiteX5" fmla="*/ 0 w 1389808"/>
                      <a:gd name="connsiteY5" fmla="*/ 366666 h 366666"/>
                      <a:gd name="connsiteX6" fmla="*/ 0 w 1389808"/>
                      <a:gd name="connsiteY6" fmla="*/ 0 h 36666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</a:cxnLst>
                    <a:rect l="l" t="t" r="r" b="b"/>
                    <a:pathLst>
                      <a:path w="1389808" h="366666" fill="none" extrusionOk="0">
                        <a:moveTo>
                          <a:pt x="0" y="0"/>
                        </a:moveTo>
                        <a:cubicBezTo>
                          <a:pt x="248249" y="-36054"/>
                          <a:pt x="544349" y="5346"/>
                          <a:pt x="722700" y="0"/>
                        </a:cubicBezTo>
                        <a:cubicBezTo>
                          <a:pt x="901051" y="-5346"/>
                          <a:pt x="1072448" y="-21125"/>
                          <a:pt x="1389808" y="0"/>
                        </a:cubicBezTo>
                        <a:cubicBezTo>
                          <a:pt x="1388539" y="105213"/>
                          <a:pt x="1391658" y="285962"/>
                          <a:pt x="1389808" y="366666"/>
                        </a:cubicBezTo>
                        <a:cubicBezTo>
                          <a:pt x="1080992" y="354155"/>
                          <a:pt x="902044" y="378711"/>
                          <a:pt x="681006" y="366666"/>
                        </a:cubicBezTo>
                        <a:cubicBezTo>
                          <a:pt x="459968" y="354621"/>
                          <a:pt x="282266" y="389656"/>
                          <a:pt x="0" y="366666"/>
                        </a:cubicBezTo>
                        <a:cubicBezTo>
                          <a:pt x="12349" y="190258"/>
                          <a:pt x="18165" y="158707"/>
                          <a:pt x="0" y="0"/>
                        </a:cubicBezTo>
                        <a:close/>
                      </a:path>
                      <a:path w="1389808" h="366666" stroke="0" extrusionOk="0">
                        <a:moveTo>
                          <a:pt x="0" y="0"/>
                        </a:moveTo>
                        <a:cubicBezTo>
                          <a:pt x="279937" y="657"/>
                          <a:pt x="363867" y="-27343"/>
                          <a:pt x="667108" y="0"/>
                        </a:cubicBezTo>
                        <a:cubicBezTo>
                          <a:pt x="970349" y="27343"/>
                          <a:pt x="1147001" y="8198"/>
                          <a:pt x="1389808" y="0"/>
                        </a:cubicBezTo>
                        <a:cubicBezTo>
                          <a:pt x="1376520" y="98093"/>
                          <a:pt x="1400360" y="256212"/>
                          <a:pt x="1389808" y="366666"/>
                        </a:cubicBezTo>
                        <a:cubicBezTo>
                          <a:pt x="1236499" y="392092"/>
                          <a:pt x="1003845" y="360036"/>
                          <a:pt x="681006" y="366666"/>
                        </a:cubicBezTo>
                        <a:cubicBezTo>
                          <a:pt x="358167" y="373296"/>
                          <a:pt x="262219" y="340965"/>
                          <a:pt x="0" y="366666"/>
                        </a:cubicBezTo>
                        <a:cubicBezTo>
                          <a:pt x="-5539" y="232719"/>
                          <a:pt x="-17575" y="139235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/>
              <a:t>IMPORTAR SINTÉTICO REF</a:t>
            </a:r>
          </a:p>
        </xdr:txBody>
      </xdr:sp>
      <xdr:sp macro="[0]!LimparSintetico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83ED7B2C-F1C7-48D0-B1D5-73F3AAD69D15}"/>
              </a:ext>
            </a:extLst>
          </xdr:cNvPr>
          <xdr:cNvSpPr/>
        </xdr:nvSpPr>
        <xdr:spPr>
          <a:xfrm>
            <a:off x="5876077" y="0"/>
            <a:ext cx="1477791" cy="364805"/>
          </a:xfrm>
          <a:prstGeom prst="rect">
            <a:avLst/>
          </a:prstGeom>
          <a:ln>
            <a:solidFill>
              <a:schemeClr val="bg1"/>
            </a:solidFill>
            <a:headEnd type="none" w="med" len="med"/>
            <a:tailEnd type="none" w="med" len="med"/>
            <a:extLst>
              <a:ext uri="{C807C97D-BFC1-408E-A445-0C87EB9F89A2}">
                <ask:lineSketchStyleProps xmlns:ask="http://schemas.microsoft.com/office/drawing/2018/sketchyshapes" sd="3575544892">
                  <a:custGeom>
                    <a:avLst/>
                    <a:gdLst>
                      <a:gd name="connsiteX0" fmla="*/ 0 w 1392667"/>
                      <a:gd name="connsiteY0" fmla="*/ 0 h 366666"/>
                      <a:gd name="connsiteX1" fmla="*/ 696334 w 1392667"/>
                      <a:gd name="connsiteY1" fmla="*/ 0 h 366666"/>
                      <a:gd name="connsiteX2" fmla="*/ 1392667 w 1392667"/>
                      <a:gd name="connsiteY2" fmla="*/ 0 h 366666"/>
                      <a:gd name="connsiteX3" fmla="*/ 1392667 w 1392667"/>
                      <a:gd name="connsiteY3" fmla="*/ 366666 h 366666"/>
                      <a:gd name="connsiteX4" fmla="*/ 724187 w 1392667"/>
                      <a:gd name="connsiteY4" fmla="*/ 366666 h 366666"/>
                      <a:gd name="connsiteX5" fmla="*/ 0 w 1392667"/>
                      <a:gd name="connsiteY5" fmla="*/ 366666 h 366666"/>
                      <a:gd name="connsiteX6" fmla="*/ 0 w 1392667"/>
                      <a:gd name="connsiteY6" fmla="*/ 0 h 36666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</a:cxnLst>
                    <a:rect l="l" t="t" r="r" b="b"/>
                    <a:pathLst>
                      <a:path w="1392667" h="366666" fill="none" extrusionOk="0">
                        <a:moveTo>
                          <a:pt x="0" y="0"/>
                        </a:moveTo>
                        <a:cubicBezTo>
                          <a:pt x="177864" y="-7956"/>
                          <a:pt x="552595" y="17061"/>
                          <a:pt x="696334" y="0"/>
                        </a:cubicBezTo>
                        <a:cubicBezTo>
                          <a:pt x="840073" y="-17061"/>
                          <a:pt x="1245836" y="-4632"/>
                          <a:pt x="1392667" y="0"/>
                        </a:cubicBezTo>
                        <a:cubicBezTo>
                          <a:pt x="1378688" y="142684"/>
                          <a:pt x="1409891" y="219157"/>
                          <a:pt x="1392667" y="366666"/>
                        </a:cubicBezTo>
                        <a:cubicBezTo>
                          <a:pt x="1157506" y="366011"/>
                          <a:pt x="896000" y="389880"/>
                          <a:pt x="724187" y="366666"/>
                        </a:cubicBezTo>
                        <a:cubicBezTo>
                          <a:pt x="552374" y="343452"/>
                          <a:pt x="246517" y="365279"/>
                          <a:pt x="0" y="366666"/>
                        </a:cubicBezTo>
                        <a:cubicBezTo>
                          <a:pt x="-8147" y="269986"/>
                          <a:pt x="-713" y="137289"/>
                          <a:pt x="0" y="0"/>
                        </a:cubicBezTo>
                        <a:close/>
                      </a:path>
                      <a:path w="1392667" h="366666" stroke="0" extrusionOk="0">
                        <a:moveTo>
                          <a:pt x="0" y="0"/>
                        </a:moveTo>
                        <a:cubicBezTo>
                          <a:pt x="186702" y="12974"/>
                          <a:pt x="470840" y="23288"/>
                          <a:pt x="668480" y="0"/>
                        </a:cubicBezTo>
                        <a:cubicBezTo>
                          <a:pt x="866120" y="-23288"/>
                          <a:pt x="1144049" y="-2961"/>
                          <a:pt x="1392667" y="0"/>
                        </a:cubicBezTo>
                        <a:cubicBezTo>
                          <a:pt x="1408789" y="154989"/>
                          <a:pt x="1387495" y="191046"/>
                          <a:pt x="1392667" y="366666"/>
                        </a:cubicBezTo>
                        <a:cubicBezTo>
                          <a:pt x="1194022" y="356614"/>
                          <a:pt x="944039" y="390662"/>
                          <a:pt x="738114" y="366666"/>
                        </a:cubicBezTo>
                        <a:cubicBezTo>
                          <a:pt x="532189" y="342670"/>
                          <a:pt x="187892" y="383931"/>
                          <a:pt x="0" y="366666"/>
                        </a:cubicBezTo>
                        <a:cubicBezTo>
                          <a:pt x="16089" y="265067"/>
                          <a:pt x="16611" y="92084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/>
              <a:t>LIMPAR SINT</a:t>
            </a:r>
          </a:p>
        </xdr:txBody>
      </xdr:sp>
      <xdr:sp macro="[0]!InserirCabRod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BEE6A96-A1D0-4861-BAE4-98107C59D137}"/>
              </a:ext>
            </a:extLst>
          </xdr:cNvPr>
          <xdr:cNvSpPr/>
        </xdr:nvSpPr>
        <xdr:spPr>
          <a:xfrm>
            <a:off x="0" y="403193"/>
            <a:ext cx="1479443" cy="364806"/>
          </a:xfrm>
          <a:prstGeom prst="rect">
            <a:avLst/>
          </a:prstGeom>
          <a:ln>
            <a:solidFill>
              <a:schemeClr val="bg1"/>
            </a:solidFill>
            <a:headEnd type="none" w="med" len="med"/>
            <a:tailEnd type="none" w="med" len="med"/>
            <a:extLst>
              <a:ext uri="{C807C97D-BFC1-408E-A445-0C87EB9F89A2}">
                <ask:lineSketchStyleProps xmlns:ask="http://schemas.microsoft.com/office/drawing/2018/sketchyshapes" sd="2687921564">
                  <a:custGeom>
                    <a:avLst/>
                    <a:gdLst>
                      <a:gd name="connsiteX0" fmla="*/ 0 w 1388855"/>
                      <a:gd name="connsiteY0" fmla="*/ 0 h 366667"/>
                      <a:gd name="connsiteX1" fmla="*/ 652762 w 1388855"/>
                      <a:gd name="connsiteY1" fmla="*/ 0 h 366667"/>
                      <a:gd name="connsiteX2" fmla="*/ 1388855 w 1388855"/>
                      <a:gd name="connsiteY2" fmla="*/ 0 h 366667"/>
                      <a:gd name="connsiteX3" fmla="*/ 1388855 w 1388855"/>
                      <a:gd name="connsiteY3" fmla="*/ 366667 h 366667"/>
                      <a:gd name="connsiteX4" fmla="*/ 722205 w 1388855"/>
                      <a:gd name="connsiteY4" fmla="*/ 366667 h 366667"/>
                      <a:gd name="connsiteX5" fmla="*/ 0 w 1388855"/>
                      <a:gd name="connsiteY5" fmla="*/ 366667 h 366667"/>
                      <a:gd name="connsiteX6" fmla="*/ 0 w 1388855"/>
                      <a:gd name="connsiteY6" fmla="*/ 0 h 366667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</a:cxnLst>
                    <a:rect l="l" t="t" r="r" b="b"/>
                    <a:pathLst>
                      <a:path w="1388855" h="366667" fill="none" extrusionOk="0">
                        <a:moveTo>
                          <a:pt x="0" y="0"/>
                        </a:moveTo>
                        <a:cubicBezTo>
                          <a:pt x="250067" y="6036"/>
                          <a:pt x="506313" y="14233"/>
                          <a:pt x="652762" y="0"/>
                        </a:cubicBezTo>
                        <a:cubicBezTo>
                          <a:pt x="799211" y="-14233"/>
                          <a:pt x="1169581" y="-11037"/>
                          <a:pt x="1388855" y="0"/>
                        </a:cubicBezTo>
                        <a:cubicBezTo>
                          <a:pt x="1384312" y="169578"/>
                          <a:pt x="1380819" y="276457"/>
                          <a:pt x="1388855" y="366667"/>
                        </a:cubicBezTo>
                        <a:cubicBezTo>
                          <a:pt x="1199447" y="399446"/>
                          <a:pt x="861353" y="375405"/>
                          <a:pt x="722205" y="366667"/>
                        </a:cubicBezTo>
                        <a:cubicBezTo>
                          <a:pt x="583057" y="357930"/>
                          <a:pt x="179678" y="377362"/>
                          <a:pt x="0" y="366667"/>
                        </a:cubicBezTo>
                        <a:cubicBezTo>
                          <a:pt x="11148" y="207079"/>
                          <a:pt x="-15638" y="91964"/>
                          <a:pt x="0" y="0"/>
                        </a:cubicBezTo>
                        <a:close/>
                      </a:path>
                      <a:path w="1388855" h="366667" stroke="0" extrusionOk="0">
                        <a:moveTo>
                          <a:pt x="0" y="0"/>
                        </a:moveTo>
                        <a:cubicBezTo>
                          <a:pt x="145242" y="-14767"/>
                          <a:pt x="450565" y="-9281"/>
                          <a:pt x="652762" y="0"/>
                        </a:cubicBezTo>
                        <a:cubicBezTo>
                          <a:pt x="854959" y="9281"/>
                          <a:pt x="1058859" y="9346"/>
                          <a:pt x="1388855" y="0"/>
                        </a:cubicBezTo>
                        <a:cubicBezTo>
                          <a:pt x="1385577" y="131686"/>
                          <a:pt x="1380274" y="231130"/>
                          <a:pt x="1388855" y="366667"/>
                        </a:cubicBezTo>
                        <a:cubicBezTo>
                          <a:pt x="1217950" y="386744"/>
                          <a:pt x="1009450" y="390059"/>
                          <a:pt x="694428" y="366667"/>
                        </a:cubicBezTo>
                        <a:cubicBezTo>
                          <a:pt x="379406" y="343275"/>
                          <a:pt x="204356" y="388969"/>
                          <a:pt x="0" y="366667"/>
                        </a:cubicBezTo>
                        <a:cubicBezTo>
                          <a:pt x="-10871" y="276041"/>
                          <a:pt x="-13277" y="182558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/>
              <a:t>INSERIR CABEÇALHO E RODAPÉ</a:t>
            </a:r>
          </a:p>
        </xdr:txBody>
      </xdr:sp>
      <xdr:sp macro="[0]!InserirAssinatura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B41330F4-636B-4D4C-AD8A-BBCA611DCE9F}"/>
              </a:ext>
            </a:extLst>
          </xdr:cNvPr>
          <xdr:cNvSpPr/>
        </xdr:nvSpPr>
        <xdr:spPr>
          <a:xfrm>
            <a:off x="2941943" y="403194"/>
            <a:ext cx="1483531" cy="365761"/>
          </a:xfrm>
          <a:prstGeom prst="rect">
            <a:avLst/>
          </a:prstGeom>
          <a:ln>
            <a:solidFill>
              <a:schemeClr val="bg1"/>
            </a:solidFill>
            <a:headEnd type="none" w="med" len="med"/>
            <a:tailEnd type="none" w="med" len="med"/>
            <a:extLst>
              <a:ext uri="{C807C97D-BFC1-408E-A445-0C87EB9F89A2}">
                <ask:lineSketchStyleProps xmlns:ask="http://schemas.microsoft.com/office/drawing/2018/sketchyshapes" sd="683069265">
                  <a:custGeom>
                    <a:avLst/>
                    <a:gdLst>
                      <a:gd name="connsiteX0" fmla="*/ 0 w 1396264"/>
                      <a:gd name="connsiteY0" fmla="*/ 0 h 362855"/>
                      <a:gd name="connsiteX1" fmla="*/ 726057 w 1396264"/>
                      <a:gd name="connsiteY1" fmla="*/ 0 h 362855"/>
                      <a:gd name="connsiteX2" fmla="*/ 1396264 w 1396264"/>
                      <a:gd name="connsiteY2" fmla="*/ 0 h 362855"/>
                      <a:gd name="connsiteX3" fmla="*/ 1396264 w 1396264"/>
                      <a:gd name="connsiteY3" fmla="*/ 362855 h 362855"/>
                      <a:gd name="connsiteX4" fmla="*/ 698132 w 1396264"/>
                      <a:gd name="connsiteY4" fmla="*/ 362855 h 362855"/>
                      <a:gd name="connsiteX5" fmla="*/ 0 w 1396264"/>
                      <a:gd name="connsiteY5" fmla="*/ 362855 h 362855"/>
                      <a:gd name="connsiteX6" fmla="*/ 0 w 1396264"/>
                      <a:gd name="connsiteY6" fmla="*/ 0 h 362855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</a:cxnLst>
                    <a:rect l="l" t="t" r="r" b="b"/>
                    <a:pathLst>
                      <a:path w="1396264" h="362855" fill="none" extrusionOk="0">
                        <a:moveTo>
                          <a:pt x="0" y="0"/>
                        </a:moveTo>
                        <a:cubicBezTo>
                          <a:pt x="221374" y="32976"/>
                          <a:pt x="386805" y="11704"/>
                          <a:pt x="726057" y="0"/>
                        </a:cubicBezTo>
                        <a:cubicBezTo>
                          <a:pt x="1065309" y="-11704"/>
                          <a:pt x="1188566" y="24492"/>
                          <a:pt x="1396264" y="0"/>
                        </a:cubicBezTo>
                        <a:cubicBezTo>
                          <a:pt x="1400492" y="101526"/>
                          <a:pt x="1397215" y="242576"/>
                          <a:pt x="1396264" y="362855"/>
                        </a:cubicBezTo>
                        <a:cubicBezTo>
                          <a:pt x="1208945" y="381283"/>
                          <a:pt x="934463" y="397145"/>
                          <a:pt x="698132" y="362855"/>
                        </a:cubicBezTo>
                        <a:cubicBezTo>
                          <a:pt x="461801" y="328565"/>
                          <a:pt x="273318" y="379190"/>
                          <a:pt x="0" y="362855"/>
                        </a:cubicBezTo>
                        <a:cubicBezTo>
                          <a:pt x="-14179" y="221049"/>
                          <a:pt x="9187" y="122435"/>
                          <a:pt x="0" y="0"/>
                        </a:cubicBezTo>
                        <a:close/>
                      </a:path>
                      <a:path w="1396264" h="362855" stroke="0" extrusionOk="0">
                        <a:moveTo>
                          <a:pt x="0" y="0"/>
                        </a:moveTo>
                        <a:cubicBezTo>
                          <a:pt x="216154" y="-11875"/>
                          <a:pt x="500252" y="6964"/>
                          <a:pt x="670207" y="0"/>
                        </a:cubicBezTo>
                        <a:cubicBezTo>
                          <a:pt x="840162" y="-6964"/>
                          <a:pt x="1178545" y="15240"/>
                          <a:pt x="1396264" y="0"/>
                        </a:cubicBezTo>
                        <a:cubicBezTo>
                          <a:pt x="1402364" y="158872"/>
                          <a:pt x="1380628" y="181973"/>
                          <a:pt x="1396264" y="362855"/>
                        </a:cubicBezTo>
                        <a:cubicBezTo>
                          <a:pt x="1059571" y="364384"/>
                          <a:pt x="1049902" y="332943"/>
                          <a:pt x="712095" y="362855"/>
                        </a:cubicBezTo>
                        <a:cubicBezTo>
                          <a:pt x="374288" y="392767"/>
                          <a:pt x="189503" y="388002"/>
                          <a:pt x="0" y="362855"/>
                        </a:cubicBezTo>
                        <a:cubicBezTo>
                          <a:pt x="-217" y="238895"/>
                          <a:pt x="-13899" y="128638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/>
              <a:t>INSERIR ASSINATURA</a:t>
            </a:r>
          </a:p>
        </xdr:txBody>
      </xdr:sp>
      <xdr:sp macro="[0]!ChamarLimparCabRod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F5621FDC-BE57-4F37-AB97-361A898D3CD5}"/>
              </a:ext>
            </a:extLst>
          </xdr:cNvPr>
          <xdr:cNvSpPr/>
        </xdr:nvSpPr>
        <xdr:spPr>
          <a:xfrm>
            <a:off x="1470910" y="403193"/>
            <a:ext cx="1479570" cy="364805"/>
          </a:xfrm>
          <a:prstGeom prst="rect">
            <a:avLst/>
          </a:prstGeom>
          <a:ln>
            <a:solidFill>
              <a:schemeClr val="bg1"/>
            </a:solidFill>
            <a:headEnd type="none" w="med" len="med"/>
            <a:tailEnd type="none" w="med" len="med"/>
            <a:extLst>
              <a:ext uri="{C807C97D-BFC1-408E-A445-0C87EB9F89A2}">
                <ask:lineSketchStyleProps xmlns:ask="http://schemas.microsoft.com/office/drawing/2018/sketchyshapes" sd="2859035578">
                  <a:custGeom>
                    <a:avLst/>
                    <a:gdLst>
                      <a:gd name="connsiteX0" fmla="*/ 0 w 1390761"/>
                      <a:gd name="connsiteY0" fmla="*/ 0 h 366666"/>
                      <a:gd name="connsiteX1" fmla="*/ 709288 w 1390761"/>
                      <a:gd name="connsiteY1" fmla="*/ 0 h 366666"/>
                      <a:gd name="connsiteX2" fmla="*/ 1390761 w 1390761"/>
                      <a:gd name="connsiteY2" fmla="*/ 0 h 366666"/>
                      <a:gd name="connsiteX3" fmla="*/ 1390761 w 1390761"/>
                      <a:gd name="connsiteY3" fmla="*/ 366666 h 366666"/>
                      <a:gd name="connsiteX4" fmla="*/ 667565 w 1390761"/>
                      <a:gd name="connsiteY4" fmla="*/ 366666 h 366666"/>
                      <a:gd name="connsiteX5" fmla="*/ 0 w 1390761"/>
                      <a:gd name="connsiteY5" fmla="*/ 366666 h 366666"/>
                      <a:gd name="connsiteX6" fmla="*/ 0 w 1390761"/>
                      <a:gd name="connsiteY6" fmla="*/ 0 h 36666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</a:cxnLst>
                    <a:rect l="l" t="t" r="r" b="b"/>
                    <a:pathLst>
                      <a:path w="1390761" h="366666" fill="none" extrusionOk="0">
                        <a:moveTo>
                          <a:pt x="0" y="0"/>
                        </a:moveTo>
                        <a:cubicBezTo>
                          <a:pt x="313100" y="-32241"/>
                          <a:pt x="459730" y="22173"/>
                          <a:pt x="709288" y="0"/>
                        </a:cubicBezTo>
                        <a:cubicBezTo>
                          <a:pt x="958846" y="-22173"/>
                          <a:pt x="1182317" y="15175"/>
                          <a:pt x="1390761" y="0"/>
                        </a:cubicBezTo>
                        <a:cubicBezTo>
                          <a:pt x="1390020" y="174692"/>
                          <a:pt x="1375785" y="215803"/>
                          <a:pt x="1390761" y="366666"/>
                        </a:cubicBezTo>
                        <a:cubicBezTo>
                          <a:pt x="1066798" y="401526"/>
                          <a:pt x="884701" y="334183"/>
                          <a:pt x="667565" y="366666"/>
                        </a:cubicBezTo>
                        <a:cubicBezTo>
                          <a:pt x="450429" y="399149"/>
                          <a:pt x="284634" y="349604"/>
                          <a:pt x="0" y="366666"/>
                        </a:cubicBezTo>
                        <a:cubicBezTo>
                          <a:pt x="-4234" y="262951"/>
                          <a:pt x="-5631" y="113434"/>
                          <a:pt x="0" y="0"/>
                        </a:cubicBezTo>
                        <a:close/>
                      </a:path>
                      <a:path w="1390761" h="366666" stroke="0" extrusionOk="0">
                        <a:moveTo>
                          <a:pt x="0" y="0"/>
                        </a:moveTo>
                        <a:cubicBezTo>
                          <a:pt x="205674" y="28141"/>
                          <a:pt x="440202" y="11633"/>
                          <a:pt x="681473" y="0"/>
                        </a:cubicBezTo>
                        <a:cubicBezTo>
                          <a:pt x="922744" y="-11633"/>
                          <a:pt x="1245524" y="10716"/>
                          <a:pt x="1390761" y="0"/>
                        </a:cubicBezTo>
                        <a:cubicBezTo>
                          <a:pt x="1388756" y="144315"/>
                          <a:pt x="1403741" y="230048"/>
                          <a:pt x="1390761" y="366666"/>
                        </a:cubicBezTo>
                        <a:cubicBezTo>
                          <a:pt x="1072653" y="370610"/>
                          <a:pt x="962347" y="336075"/>
                          <a:pt x="681473" y="366666"/>
                        </a:cubicBezTo>
                        <a:cubicBezTo>
                          <a:pt x="400599" y="397257"/>
                          <a:pt x="230299" y="360396"/>
                          <a:pt x="0" y="366666"/>
                        </a:cubicBezTo>
                        <a:cubicBezTo>
                          <a:pt x="5662" y="253746"/>
                          <a:pt x="-16990" y="181376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/>
              <a:t>REMOVER CABEÇALHO E RODAPÉ</a:t>
            </a:r>
          </a:p>
        </xdr:txBody>
      </xdr:sp>
      <xdr:sp macro="[0]!ChamarLimparAssinatura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74705C87-44D7-4926-8C18-55780CB0329B}"/>
              </a:ext>
            </a:extLst>
          </xdr:cNvPr>
          <xdr:cNvSpPr/>
        </xdr:nvSpPr>
        <xdr:spPr>
          <a:xfrm>
            <a:off x="4414116" y="405097"/>
            <a:ext cx="1470683" cy="362906"/>
          </a:xfrm>
          <a:prstGeom prst="rect">
            <a:avLst/>
          </a:prstGeom>
          <a:ln>
            <a:solidFill>
              <a:schemeClr val="bg1"/>
            </a:solidFill>
            <a:headEnd type="none" w="med" len="med"/>
            <a:tailEnd type="none" w="med" len="med"/>
            <a:extLst>
              <a:ext uri="{C807C97D-BFC1-408E-A445-0C87EB9F89A2}">
                <ask:lineSketchStyleProps xmlns:ask="http://schemas.microsoft.com/office/drawing/2018/sketchyshapes" sd="4207912153">
                  <a:custGeom>
                    <a:avLst/>
                    <a:gdLst>
                      <a:gd name="connsiteX0" fmla="*/ 0 w 1385999"/>
                      <a:gd name="connsiteY0" fmla="*/ 0 h 362855"/>
                      <a:gd name="connsiteX1" fmla="*/ 720719 w 1385999"/>
                      <a:gd name="connsiteY1" fmla="*/ 0 h 362855"/>
                      <a:gd name="connsiteX2" fmla="*/ 1385999 w 1385999"/>
                      <a:gd name="connsiteY2" fmla="*/ 0 h 362855"/>
                      <a:gd name="connsiteX3" fmla="*/ 1385999 w 1385999"/>
                      <a:gd name="connsiteY3" fmla="*/ 362855 h 362855"/>
                      <a:gd name="connsiteX4" fmla="*/ 693000 w 1385999"/>
                      <a:gd name="connsiteY4" fmla="*/ 362855 h 362855"/>
                      <a:gd name="connsiteX5" fmla="*/ 0 w 1385999"/>
                      <a:gd name="connsiteY5" fmla="*/ 362855 h 362855"/>
                      <a:gd name="connsiteX6" fmla="*/ 0 w 1385999"/>
                      <a:gd name="connsiteY6" fmla="*/ 0 h 362855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</a:cxnLst>
                    <a:rect l="l" t="t" r="r" b="b"/>
                    <a:pathLst>
                      <a:path w="1385999" h="362855" fill="none" extrusionOk="0">
                        <a:moveTo>
                          <a:pt x="0" y="0"/>
                        </a:moveTo>
                        <a:cubicBezTo>
                          <a:pt x="236061" y="-20839"/>
                          <a:pt x="416329" y="14444"/>
                          <a:pt x="720719" y="0"/>
                        </a:cubicBezTo>
                        <a:cubicBezTo>
                          <a:pt x="1025109" y="-14444"/>
                          <a:pt x="1161770" y="-26148"/>
                          <a:pt x="1385999" y="0"/>
                        </a:cubicBezTo>
                        <a:cubicBezTo>
                          <a:pt x="1369294" y="172107"/>
                          <a:pt x="1370477" y="200907"/>
                          <a:pt x="1385999" y="362855"/>
                        </a:cubicBezTo>
                        <a:cubicBezTo>
                          <a:pt x="1107724" y="335738"/>
                          <a:pt x="853725" y="359494"/>
                          <a:pt x="693000" y="362855"/>
                        </a:cubicBezTo>
                        <a:cubicBezTo>
                          <a:pt x="532275" y="366216"/>
                          <a:pt x="256015" y="350873"/>
                          <a:pt x="0" y="362855"/>
                        </a:cubicBezTo>
                        <a:cubicBezTo>
                          <a:pt x="-3170" y="198721"/>
                          <a:pt x="-15181" y="91858"/>
                          <a:pt x="0" y="0"/>
                        </a:cubicBezTo>
                        <a:close/>
                      </a:path>
                      <a:path w="1385999" h="362855" stroke="0" extrusionOk="0">
                        <a:moveTo>
                          <a:pt x="0" y="0"/>
                        </a:moveTo>
                        <a:cubicBezTo>
                          <a:pt x="167327" y="-15180"/>
                          <a:pt x="439104" y="8202"/>
                          <a:pt x="679140" y="0"/>
                        </a:cubicBezTo>
                        <a:cubicBezTo>
                          <a:pt x="919176" y="-8202"/>
                          <a:pt x="1133604" y="31928"/>
                          <a:pt x="1385999" y="0"/>
                        </a:cubicBezTo>
                        <a:cubicBezTo>
                          <a:pt x="1393250" y="104873"/>
                          <a:pt x="1395500" y="204245"/>
                          <a:pt x="1385999" y="362855"/>
                        </a:cubicBezTo>
                        <a:cubicBezTo>
                          <a:pt x="1119548" y="329900"/>
                          <a:pt x="917111" y="335170"/>
                          <a:pt x="720719" y="362855"/>
                        </a:cubicBezTo>
                        <a:cubicBezTo>
                          <a:pt x="524327" y="390540"/>
                          <a:pt x="320169" y="355116"/>
                          <a:pt x="0" y="362855"/>
                        </a:cubicBezTo>
                        <a:cubicBezTo>
                          <a:pt x="4663" y="191205"/>
                          <a:pt x="299" y="135170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/>
              <a:t>REMOVER ASSINATURA</a:t>
            </a:r>
          </a:p>
        </xdr:txBody>
      </xdr:sp>
      <xdr:sp macro="[0]!ChamarImportarCPUs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D129A4BE-7E25-4958-B82C-BB2540B9A1DC}"/>
              </a:ext>
            </a:extLst>
          </xdr:cNvPr>
          <xdr:cNvSpPr/>
        </xdr:nvSpPr>
        <xdr:spPr>
          <a:xfrm>
            <a:off x="4403073" y="0"/>
            <a:ext cx="1487567" cy="364805"/>
          </a:xfrm>
          <a:prstGeom prst="rect">
            <a:avLst/>
          </a:prstGeom>
          <a:ln>
            <a:solidFill>
              <a:schemeClr val="bg1"/>
            </a:solidFill>
            <a:headEnd type="none" w="med" len="med"/>
            <a:tailEnd type="none" w="med" len="med"/>
            <a:extLst>
              <a:ext uri="{C807C97D-BFC1-408E-A445-0C87EB9F89A2}">
                <ask:lineSketchStyleProps xmlns:ask="http://schemas.microsoft.com/office/drawing/2018/sketchyshapes" sd="4126684501">
                  <a:custGeom>
                    <a:avLst/>
                    <a:gdLst>
                      <a:gd name="connsiteX0" fmla="*/ 0 w 1396476"/>
                      <a:gd name="connsiteY0" fmla="*/ 0 h 366666"/>
                      <a:gd name="connsiteX1" fmla="*/ 726168 w 1396476"/>
                      <a:gd name="connsiteY1" fmla="*/ 0 h 366666"/>
                      <a:gd name="connsiteX2" fmla="*/ 1396476 w 1396476"/>
                      <a:gd name="connsiteY2" fmla="*/ 0 h 366666"/>
                      <a:gd name="connsiteX3" fmla="*/ 1396476 w 1396476"/>
                      <a:gd name="connsiteY3" fmla="*/ 366666 h 366666"/>
                      <a:gd name="connsiteX4" fmla="*/ 698238 w 1396476"/>
                      <a:gd name="connsiteY4" fmla="*/ 366666 h 366666"/>
                      <a:gd name="connsiteX5" fmla="*/ 0 w 1396476"/>
                      <a:gd name="connsiteY5" fmla="*/ 366666 h 366666"/>
                      <a:gd name="connsiteX6" fmla="*/ 0 w 1396476"/>
                      <a:gd name="connsiteY6" fmla="*/ 0 h 36666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</a:cxnLst>
                    <a:rect l="l" t="t" r="r" b="b"/>
                    <a:pathLst>
                      <a:path w="1396476" h="366666" fill="none" extrusionOk="0">
                        <a:moveTo>
                          <a:pt x="0" y="0"/>
                        </a:moveTo>
                        <a:cubicBezTo>
                          <a:pt x="219839" y="-32208"/>
                          <a:pt x="468878" y="-10269"/>
                          <a:pt x="726168" y="0"/>
                        </a:cubicBezTo>
                        <a:cubicBezTo>
                          <a:pt x="983458" y="10269"/>
                          <a:pt x="1086041" y="18813"/>
                          <a:pt x="1396476" y="0"/>
                        </a:cubicBezTo>
                        <a:cubicBezTo>
                          <a:pt x="1412252" y="158528"/>
                          <a:pt x="1380167" y="239521"/>
                          <a:pt x="1396476" y="366666"/>
                        </a:cubicBezTo>
                        <a:cubicBezTo>
                          <a:pt x="1245711" y="355582"/>
                          <a:pt x="876362" y="365847"/>
                          <a:pt x="698238" y="366666"/>
                        </a:cubicBezTo>
                        <a:cubicBezTo>
                          <a:pt x="520114" y="367485"/>
                          <a:pt x="259626" y="346311"/>
                          <a:pt x="0" y="366666"/>
                        </a:cubicBezTo>
                        <a:cubicBezTo>
                          <a:pt x="-12263" y="257262"/>
                          <a:pt x="2082" y="179431"/>
                          <a:pt x="0" y="0"/>
                        </a:cubicBezTo>
                        <a:close/>
                      </a:path>
                      <a:path w="1396476" h="366666" stroke="0" extrusionOk="0">
                        <a:moveTo>
                          <a:pt x="0" y="0"/>
                        </a:moveTo>
                        <a:cubicBezTo>
                          <a:pt x="282855" y="3321"/>
                          <a:pt x="385127" y="-19705"/>
                          <a:pt x="712203" y="0"/>
                        </a:cubicBezTo>
                        <a:cubicBezTo>
                          <a:pt x="1039279" y="19705"/>
                          <a:pt x="1176454" y="-19151"/>
                          <a:pt x="1396476" y="0"/>
                        </a:cubicBezTo>
                        <a:cubicBezTo>
                          <a:pt x="1413177" y="154969"/>
                          <a:pt x="1414476" y="249434"/>
                          <a:pt x="1396476" y="366666"/>
                        </a:cubicBezTo>
                        <a:cubicBezTo>
                          <a:pt x="1196632" y="367189"/>
                          <a:pt x="854096" y="343704"/>
                          <a:pt x="698238" y="366666"/>
                        </a:cubicBezTo>
                        <a:cubicBezTo>
                          <a:pt x="542380" y="389628"/>
                          <a:pt x="143088" y="364747"/>
                          <a:pt x="0" y="366666"/>
                        </a:cubicBezTo>
                        <a:cubicBezTo>
                          <a:pt x="4247" y="197123"/>
                          <a:pt x="12212" y="180133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/>
              <a:t>IMPORTAR</a:t>
            </a:r>
            <a:r>
              <a:rPr lang="pt-BR" sz="800" b="1" baseline="0"/>
              <a:t> CPUs</a:t>
            </a:r>
            <a:endParaRPr lang="pt-BR" sz="800" b="1"/>
          </a:p>
        </xdr:txBody>
      </xdr:sp>
      <xdr:sp macro="[0]!LimparCPUs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8CCF057-F3F6-4404-8F6C-986E8A74931F}"/>
              </a:ext>
            </a:extLst>
          </xdr:cNvPr>
          <xdr:cNvSpPr/>
        </xdr:nvSpPr>
        <xdr:spPr>
          <a:xfrm>
            <a:off x="7339299" y="0"/>
            <a:ext cx="1478557" cy="364805"/>
          </a:xfrm>
          <a:prstGeom prst="rect">
            <a:avLst/>
          </a:prstGeom>
          <a:ln>
            <a:solidFill>
              <a:schemeClr val="bg1"/>
            </a:solidFill>
            <a:headEnd type="none" w="med" len="med"/>
            <a:tailEnd type="none" w="med" len="med"/>
            <a:extLst>
              <a:ext uri="{C807C97D-BFC1-408E-A445-0C87EB9F89A2}">
                <ask:lineSketchStyleProps xmlns:ask="http://schemas.microsoft.com/office/drawing/2018/sketchyshapes" sd="87912824">
                  <a:custGeom>
                    <a:avLst/>
                    <a:gdLst>
                      <a:gd name="connsiteX0" fmla="*/ 0 w 1389809"/>
                      <a:gd name="connsiteY0" fmla="*/ 0 h 366666"/>
                      <a:gd name="connsiteX1" fmla="*/ 667108 w 1389809"/>
                      <a:gd name="connsiteY1" fmla="*/ 0 h 366666"/>
                      <a:gd name="connsiteX2" fmla="*/ 1389809 w 1389809"/>
                      <a:gd name="connsiteY2" fmla="*/ 0 h 366666"/>
                      <a:gd name="connsiteX3" fmla="*/ 1389809 w 1389809"/>
                      <a:gd name="connsiteY3" fmla="*/ 366666 h 366666"/>
                      <a:gd name="connsiteX4" fmla="*/ 667108 w 1389809"/>
                      <a:gd name="connsiteY4" fmla="*/ 366666 h 366666"/>
                      <a:gd name="connsiteX5" fmla="*/ 0 w 1389809"/>
                      <a:gd name="connsiteY5" fmla="*/ 366666 h 366666"/>
                      <a:gd name="connsiteX6" fmla="*/ 0 w 1389809"/>
                      <a:gd name="connsiteY6" fmla="*/ 0 h 366666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</a:cxnLst>
                    <a:rect l="l" t="t" r="r" b="b"/>
                    <a:pathLst>
                      <a:path w="1389809" h="366666" fill="none" extrusionOk="0">
                        <a:moveTo>
                          <a:pt x="0" y="0"/>
                        </a:moveTo>
                        <a:cubicBezTo>
                          <a:pt x="263359" y="27408"/>
                          <a:pt x="350484" y="14078"/>
                          <a:pt x="667108" y="0"/>
                        </a:cubicBezTo>
                        <a:cubicBezTo>
                          <a:pt x="983732" y="-14078"/>
                          <a:pt x="1103641" y="12490"/>
                          <a:pt x="1389809" y="0"/>
                        </a:cubicBezTo>
                        <a:cubicBezTo>
                          <a:pt x="1377725" y="132326"/>
                          <a:pt x="1378333" y="192054"/>
                          <a:pt x="1389809" y="366666"/>
                        </a:cubicBezTo>
                        <a:cubicBezTo>
                          <a:pt x="1180616" y="335277"/>
                          <a:pt x="877388" y="374556"/>
                          <a:pt x="667108" y="366666"/>
                        </a:cubicBezTo>
                        <a:cubicBezTo>
                          <a:pt x="456828" y="358776"/>
                          <a:pt x="291398" y="346617"/>
                          <a:pt x="0" y="366666"/>
                        </a:cubicBezTo>
                        <a:cubicBezTo>
                          <a:pt x="6056" y="284477"/>
                          <a:pt x="16063" y="114094"/>
                          <a:pt x="0" y="0"/>
                        </a:cubicBezTo>
                        <a:close/>
                      </a:path>
                      <a:path w="1389809" h="366666" stroke="0" extrusionOk="0">
                        <a:moveTo>
                          <a:pt x="0" y="0"/>
                        </a:moveTo>
                        <a:cubicBezTo>
                          <a:pt x="229076" y="26928"/>
                          <a:pt x="485465" y="10657"/>
                          <a:pt x="722701" y="0"/>
                        </a:cubicBezTo>
                        <a:cubicBezTo>
                          <a:pt x="959937" y="-10657"/>
                          <a:pt x="1101385" y="6948"/>
                          <a:pt x="1389809" y="0"/>
                        </a:cubicBezTo>
                        <a:cubicBezTo>
                          <a:pt x="1390337" y="107612"/>
                          <a:pt x="1378713" y="192133"/>
                          <a:pt x="1389809" y="366666"/>
                        </a:cubicBezTo>
                        <a:cubicBezTo>
                          <a:pt x="1092583" y="401230"/>
                          <a:pt x="831935" y="367678"/>
                          <a:pt x="667108" y="366666"/>
                        </a:cubicBezTo>
                        <a:cubicBezTo>
                          <a:pt x="502281" y="365654"/>
                          <a:pt x="276956" y="342462"/>
                          <a:pt x="0" y="366666"/>
                        </a:cubicBezTo>
                        <a:cubicBezTo>
                          <a:pt x="-8585" y="285935"/>
                          <a:pt x="-11726" y="121234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/>
              <a:t>LIMPAR CPUs</a:t>
            </a:r>
          </a:p>
        </xdr:txBody>
      </xdr:sp>
      <xdr:sp macro="[0]!Planilha7.OcultarPlanilhaAuxiliar" textlink="">
        <xdr:nvSpPr>
          <xdr:cNvPr id="2" name="Retângulo 1">
            <a:extLst>
              <a:ext uri="{FF2B5EF4-FFF2-40B4-BE49-F238E27FC236}">
                <a16:creationId xmlns:a16="http://schemas.microsoft.com/office/drawing/2014/main" id="{2E45C9F4-C471-424F-A973-98442E0F0484}"/>
              </a:ext>
            </a:extLst>
          </xdr:cNvPr>
          <xdr:cNvSpPr/>
        </xdr:nvSpPr>
        <xdr:spPr>
          <a:xfrm>
            <a:off x="5898972" y="406048"/>
            <a:ext cx="1437469" cy="364810"/>
          </a:xfrm>
          <a:prstGeom prst="rect">
            <a:avLst/>
          </a:prstGeom>
          <a:ln>
            <a:solidFill>
              <a:schemeClr val="bg1"/>
            </a:solidFill>
            <a:headEnd type="none" w="med" len="med"/>
            <a:tailEnd type="none" w="med" len="med"/>
            <a:extLst>
              <a:ext uri="{C807C97D-BFC1-408E-A445-0C87EB9F89A2}">
                <ask:lineSketchStyleProps xmlns:ask="http://schemas.microsoft.com/office/drawing/2018/sketchyshapes" sd="4207912153">
                  <a:custGeom>
                    <a:avLst/>
                    <a:gdLst>
                      <a:gd name="connsiteX0" fmla="*/ 0 w 1385999"/>
                      <a:gd name="connsiteY0" fmla="*/ 0 h 362855"/>
                      <a:gd name="connsiteX1" fmla="*/ 720719 w 1385999"/>
                      <a:gd name="connsiteY1" fmla="*/ 0 h 362855"/>
                      <a:gd name="connsiteX2" fmla="*/ 1385999 w 1385999"/>
                      <a:gd name="connsiteY2" fmla="*/ 0 h 362855"/>
                      <a:gd name="connsiteX3" fmla="*/ 1385999 w 1385999"/>
                      <a:gd name="connsiteY3" fmla="*/ 362855 h 362855"/>
                      <a:gd name="connsiteX4" fmla="*/ 693000 w 1385999"/>
                      <a:gd name="connsiteY4" fmla="*/ 362855 h 362855"/>
                      <a:gd name="connsiteX5" fmla="*/ 0 w 1385999"/>
                      <a:gd name="connsiteY5" fmla="*/ 362855 h 362855"/>
                      <a:gd name="connsiteX6" fmla="*/ 0 w 1385999"/>
                      <a:gd name="connsiteY6" fmla="*/ 0 h 362855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</a:cxnLst>
                    <a:rect l="l" t="t" r="r" b="b"/>
                    <a:pathLst>
                      <a:path w="1385999" h="362855" fill="none" extrusionOk="0">
                        <a:moveTo>
                          <a:pt x="0" y="0"/>
                        </a:moveTo>
                        <a:cubicBezTo>
                          <a:pt x="236061" y="-20839"/>
                          <a:pt x="416329" y="14444"/>
                          <a:pt x="720719" y="0"/>
                        </a:cubicBezTo>
                        <a:cubicBezTo>
                          <a:pt x="1025109" y="-14444"/>
                          <a:pt x="1161770" y="-26148"/>
                          <a:pt x="1385999" y="0"/>
                        </a:cubicBezTo>
                        <a:cubicBezTo>
                          <a:pt x="1369294" y="172107"/>
                          <a:pt x="1370477" y="200907"/>
                          <a:pt x="1385999" y="362855"/>
                        </a:cubicBezTo>
                        <a:cubicBezTo>
                          <a:pt x="1107724" y="335738"/>
                          <a:pt x="853725" y="359494"/>
                          <a:pt x="693000" y="362855"/>
                        </a:cubicBezTo>
                        <a:cubicBezTo>
                          <a:pt x="532275" y="366216"/>
                          <a:pt x="256015" y="350873"/>
                          <a:pt x="0" y="362855"/>
                        </a:cubicBezTo>
                        <a:cubicBezTo>
                          <a:pt x="-3170" y="198721"/>
                          <a:pt x="-15181" y="91858"/>
                          <a:pt x="0" y="0"/>
                        </a:cubicBezTo>
                        <a:close/>
                      </a:path>
                      <a:path w="1385999" h="362855" stroke="0" extrusionOk="0">
                        <a:moveTo>
                          <a:pt x="0" y="0"/>
                        </a:moveTo>
                        <a:cubicBezTo>
                          <a:pt x="167327" y="-15180"/>
                          <a:pt x="439104" y="8202"/>
                          <a:pt x="679140" y="0"/>
                        </a:cubicBezTo>
                        <a:cubicBezTo>
                          <a:pt x="919176" y="-8202"/>
                          <a:pt x="1133604" y="31928"/>
                          <a:pt x="1385999" y="0"/>
                        </a:cubicBezTo>
                        <a:cubicBezTo>
                          <a:pt x="1393250" y="104873"/>
                          <a:pt x="1395500" y="204245"/>
                          <a:pt x="1385999" y="362855"/>
                        </a:cubicBezTo>
                        <a:cubicBezTo>
                          <a:pt x="1119548" y="329900"/>
                          <a:pt x="917111" y="335170"/>
                          <a:pt x="720719" y="362855"/>
                        </a:cubicBezTo>
                        <a:cubicBezTo>
                          <a:pt x="524327" y="390540"/>
                          <a:pt x="320169" y="355116"/>
                          <a:pt x="0" y="362855"/>
                        </a:cubicBezTo>
                        <a:cubicBezTo>
                          <a:pt x="4663" y="191205"/>
                          <a:pt x="299" y="135170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/>
              <a:t>OCULTAR AUXILIAR</a:t>
            </a:r>
          </a:p>
        </xdr:txBody>
      </xdr:sp>
      <xdr:sp macro="[0]!ChamarPrepararPlanilhas" textlink="">
        <xdr:nvSpPr>
          <xdr:cNvPr id="4" name="Retângulo 3">
            <a:extLst>
              <a:ext uri="{FF2B5EF4-FFF2-40B4-BE49-F238E27FC236}">
                <a16:creationId xmlns:a16="http://schemas.microsoft.com/office/drawing/2014/main" id="{49BF29F0-2C9B-443E-8B5E-9B1CA50050D2}"/>
              </a:ext>
            </a:extLst>
          </xdr:cNvPr>
          <xdr:cNvSpPr/>
        </xdr:nvSpPr>
        <xdr:spPr>
          <a:xfrm>
            <a:off x="7351963" y="403191"/>
            <a:ext cx="1440325" cy="366714"/>
          </a:xfrm>
          <a:prstGeom prst="rect">
            <a:avLst/>
          </a:prstGeom>
          <a:ln>
            <a:solidFill>
              <a:schemeClr val="bg1"/>
            </a:solidFill>
            <a:headEnd type="none" w="med" len="med"/>
            <a:tailEnd type="none" w="med" len="med"/>
            <a:extLst>
              <a:ext uri="{C807C97D-BFC1-408E-A445-0C87EB9F89A2}">
                <ask:lineSketchStyleProps xmlns:ask="http://schemas.microsoft.com/office/drawing/2018/sketchyshapes" sd="4207912153">
                  <a:custGeom>
                    <a:avLst/>
                    <a:gdLst>
                      <a:gd name="connsiteX0" fmla="*/ 0 w 1385999"/>
                      <a:gd name="connsiteY0" fmla="*/ 0 h 362855"/>
                      <a:gd name="connsiteX1" fmla="*/ 720719 w 1385999"/>
                      <a:gd name="connsiteY1" fmla="*/ 0 h 362855"/>
                      <a:gd name="connsiteX2" fmla="*/ 1385999 w 1385999"/>
                      <a:gd name="connsiteY2" fmla="*/ 0 h 362855"/>
                      <a:gd name="connsiteX3" fmla="*/ 1385999 w 1385999"/>
                      <a:gd name="connsiteY3" fmla="*/ 362855 h 362855"/>
                      <a:gd name="connsiteX4" fmla="*/ 693000 w 1385999"/>
                      <a:gd name="connsiteY4" fmla="*/ 362855 h 362855"/>
                      <a:gd name="connsiteX5" fmla="*/ 0 w 1385999"/>
                      <a:gd name="connsiteY5" fmla="*/ 362855 h 362855"/>
                      <a:gd name="connsiteX6" fmla="*/ 0 w 1385999"/>
                      <a:gd name="connsiteY6" fmla="*/ 0 h 362855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</a:cxnLst>
                    <a:rect l="l" t="t" r="r" b="b"/>
                    <a:pathLst>
                      <a:path w="1385999" h="362855" fill="none" extrusionOk="0">
                        <a:moveTo>
                          <a:pt x="0" y="0"/>
                        </a:moveTo>
                        <a:cubicBezTo>
                          <a:pt x="236061" y="-20839"/>
                          <a:pt x="416329" y="14444"/>
                          <a:pt x="720719" y="0"/>
                        </a:cubicBezTo>
                        <a:cubicBezTo>
                          <a:pt x="1025109" y="-14444"/>
                          <a:pt x="1161770" y="-26148"/>
                          <a:pt x="1385999" y="0"/>
                        </a:cubicBezTo>
                        <a:cubicBezTo>
                          <a:pt x="1369294" y="172107"/>
                          <a:pt x="1370477" y="200907"/>
                          <a:pt x="1385999" y="362855"/>
                        </a:cubicBezTo>
                        <a:cubicBezTo>
                          <a:pt x="1107724" y="335738"/>
                          <a:pt x="853725" y="359494"/>
                          <a:pt x="693000" y="362855"/>
                        </a:cubicBezTo>
                        <a:cubicBezTo>
                          <a:pt x="532275" y="366216"/>
                          <a:pt x="256015" y="350873"/>
                          <a:pt x="0" y="362855"/>
                        </a:cubicBezTo>
                        <a:cubicBezTo>
                          <a:pt x="-3170" y="198721"/>
                          <a:pt x="-15181" y="91858"/>
                          <a:pt x="0" y="0"/>
                        </a:cubicBezTo>
                        <a:close/>
                      </a:path>
                      <a:path w="1385999" h="362855" stroke="0" extrusionOk="0">
                        <a:moveTo>
                          <a:pt x="0" y="0"/>
                        </a:moveTo>
                        <a:cubicBezTo>
                          <a:pt x="167327" y="-15180"/>
                          <a:pt x="439104" y="8202"/>
                          <a:pt x="679140" y="0"/>
                        </a:cubicBezTo>
                        <a:cubicBezTo>
                          <a:pt x="919176" y="-8202"/>
                          <a:pt x="1133604" y="31928"/>
                          <a:pt x="1385999" y="0"/>
                        </a:cubicBezTo>
                        <a:cubicBezTo>
                          <a:pt x="1393250" y="104873"/>
                          <a:pt x="1395500" y="204245"/>
                          <a:pt x="1385999" y="362855"/>
                        </a:cubicBezTo>
                        <a:cubicBezTo>
                          <a:pt x="1119548" y="329900"/>
                          <a:pt x="917111" y="335170"/>
                          <a:pt x="720719" y="362855"/>
                        </a:cubicBezTo>
                        <a:cubicBezTo>
                          <a:pt x="524327" y="390540"/>
                          <a:pt x="320169" y="355116"/>
                          <a:pt x="0" y="362855"/>
                        </a:cubicBezTo>
                        <a:cubicBezTo>
                          <a:pt x="4663" y="191205"/>
                          <a:pt x="299" y="135170"/>
                          <a:pt x="0" y="0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/>
              <a:t>PREPARAR</a:t>
            </a:r>
            <a:r>
              <a:rPr lang="pt-BR" sz="800" b="1" baseline="0"/>
              <a:t> PLANILHA</a:t>
            </a:r>
            <a:endParaRPr lang="pt-BR" sz="800" b="1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44BDCF-302A-4C7E-8492-837626A7C5E5}" name="TbEstados" displayName="TbEstados" ref="A17:A44" totalsRowShown="0" headerRowDxfId="13" dataDxfId="12">
  <autoFilter ref="A17:A44" xr:uid="{4044BDCF-302A-4C7E-8492-837626A7C5E5}"/>
  <tableColumns count="1">
    <tableColumn id="1" xr3:uid="{8345629A-0BCE-4E41-967F-3BEDD70DD986}" name="Estados brasileiros" dataDxfId="11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9F1F65-2050-4CC6-9645-BF61C7DE26C6}" name="TbParametros" displayName="TbParametros" ref="A8:B11" totalsRowShown="0" headerRowDxfId="10">
  <autoFilter ref="A8:B11" xr:uid="{F69F1F65-2050-4CC6-9645-BF61C7DE26C6}"/>
  <tableColumns count="2">
    <tableColumn id="1" xr3:uid="{1B675C55-F3C4-4153-A1AB-D433039A048F}" name="Parâmetro" dataDxfId="9"/>
    <tableColumn id="2" xr3:uid="{C36FCF17-D3DB-4E17-9171-61BB0FC5B4BA}" name="Dados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F3F26B-4D92-4E9B-82E1-420A3673D9A9}" name="TbUltimaLinha" displayName="TbUltimaLinha" ref="A13:B15" totalsRowShown="0" headerRowDxfId="8" dataDxfId="7">
  <autoFilter ref="A13:B15" xr:uid="{57F3F26B-4D92-4E9B-82E1-420A3673D9A9}"/>
  <tableColumns count="2">
    <tableColumn id="1" xr3:uid="{911EA5EB-507E-4C5E-B258-199ECF2D7135}" name="Última linha" dataDxfId="6"/>
    <tableColumn id="2" xr3:uid="{6A0C35DA-A302-4A4B-8963-D99D72BB8DFE}" name="Dados" dataDxfId="5">
      <calculatedColumnFormula array="1">LARGE(IF(CPUs!J:J&lt;&gt;"",ROW(CPUs!J:J)),1)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2A74DEC-E031-40FC-B6BF-5F58B8B8A141}" name="TbClientes" displayName="TbClientes" ref="A46:C58" totalsRowShown="0" headerRowDxfId="4" dataDxfId="3">
  <autoFilter ref="A46:C58" xr:uid="{42A74DEC-E031-40FC-B6BF-5F58B8B8A141}"/>
  <sortState xmlns:xlrd2="http://schemas.microsoft.com/office/spreadsheetml/2017/richdata2" ref="A47:C58">
    <sortCondition ref="A46:A58"/>
  </sortState>
  <tableColumns count="3">
    <tableColumn id="1" xr3:uid="{5FC46C0D-29E2-42D2-A37D-D224CDA66445}" name="Cliente" dataDxfId="2"/>
    <tableColumn id="2" xr3:uid="{26004B97-5E05-41C9-8B1D-3FDA253F4E69}" name="Sede" dataDxfId="1"/>
    <tableColumn id="3" xr3:uid="{0329B04A-5245-4E20-A839-6D52C3F8DCDA}" name="Estado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  <pageSetUpPr fitToPage="1"/>
  </sheetPr>
  <dimension ref="A1:T16"/>
  <sheetViews>
    <sheetView showGridLines="0" tabSelected="1" showOutlineSymbols="0" view="pageBreakPreview" zoomScale="70" zoomScaleNormal="100" zoomScaleSheetLayoutView="70" workbookViewId="0">
      <pane ySplit="9" topLeftCell="A10" activePane="bottomLeft" state="frozen"/>
      <selection pane="bottomLeft"/>
    </sheetView>
  </sheetViews>
  <sheetFormatPr defaultColWidth="8.59765625" defaultRowHeight="13.8" x14ac:dyDescent="0.25"/>
  <cols>
    <col min="1" max="1" width="10" style="123" bestFit="1" customWidth="1"/>
    <col min="2" max="2" width="10" style="123" customWidth="1"/>
    <col min="3" max="3" width="13.19921875" style="123" customWidth="1"/>
    <col min="4" max="4" width="60" style="123" customWidth="1"/>
    <col min="5" max="5" width="20.796875" style="123" bestFit="1" customWidth="1"/>
    <col min="6" max="7" width="13" style="123" customWidth="1"/>
    <col min="8" max="8" width="14.796875" style="123" bestFit="1" customWidth="1"/>
    <col min="9" max="9" width="15.59765625" style="123" customWidth="1"/>
    <col min="10" max="10" width="14.5" style="123" bestFit="1" customWidth="1"/>
    <col min="11" max="11" width="2.69921875" style="123" customWidth="1"/>
    <col min="12" max="12" width="10.796875" style="124" bestFit="1" customWidth="1"/>
    <col min="13" max="13" width="14.796875" style="124" bestFit="1" customWidth="1"/>
    <col min="14" max="14" width="13.8984375" style="123" bestFit="1" customWidth="1"/>
    <col min="15" max="15" width="10.59765625" style="123" bestFit="1" customWidth="1"/>
    <col min="16" max="16" width="16" style="123" bestFit="1" customWidth="1"/>
    <col min="17" max="17" width="2.69921875" style="123" customWidth="1"/>
    <col min="18" max="19" width="10.796875" style="123" bestFit="1" customWidth="1"/>
    <col min="20" max="20" width="9.796875" style="123" bestFit="1" customWidth="1"/>
    <col min="21" max="21" width="2.69921875" style="123" customWidth="1"/>
    <col min="22" max="16384" width="8.59765625" style="123"/>
  </cols>
  <sheetData>
    <row r="1" spans="1:20" x14ac:dyDescent="0.25">
      <c r="B1" s="124"/>
      <c r="F1" s="125" t="s">
        <v>133</v>
      </c>
      <c r="G1" s="164">
        <f>COUNTIFS($G$10:G9570,0)</f>
        <v>0</v>
      </c>
      <c r="H1" s="164">
        <f>COUNTIFS($H$10:H9570,0)</f>
        <v>0</v>
      </c>
      <c r="I1" s="164">
        <f ca="1">COUNTIFS($I$10:I9570,0)</f>
        <v>1</v>
      </c>
      <c r="J1" s="164">
        <f ca="1">COUNTIFS($J$10:J9570,0)</f>
        <v>1</v>
      </c>
    </row>
    <row r="2" spans="1:20" x14ac:dyDescent="0.25">
      <c r="F2" s="125" t="s">
        <v>134</v>
      </c>
      <c r="G2" s="164" cm="1">
        <f t="array" ref="G2">SUM(IF(ISERROR($G$10:G9570),1,0))</f>
        <v>0</v>
      </c>
      <c r="H2" s="164" cm="1">
        <f t="array" ref="H2">SUM(IF(ISERROR($H$10:H9570),1,0))</f>
        <v>0</v>
      </c>
      <c r="I2" s="164" cm="1">
        <f t="array" aca="1" ref="I2" ca="1">SUM(IF(ISERROR($I$10:I9570),1,0))</f>
        <v>0</v>
      </c>
      <c r="J2" s="164" cm="1">
        <f t="array" aca="1" ref="J2" ca="1">SUM(IF(ISERROR($J$10:J9570),1,0))</f>
        <v>3</v>
      </c>
    </row>
    <row r="4" spans="1:20" x14ac:dyDescent="0.25">
      <c r="L4" s="126" t="s">
        <v>123</v>
      </c>
      <c r="M4" s="127">
        <v>0</v>
      </c>
    </row>
    <row r="5" spans="1:20" x14ac:dyDescent="0.25">
      <c r="C5" s="134"/>
      <c r="D5" s="134" t="s">
        <v>213</v>
      </c>
      <c r="E5" s="128" t="s">
        <v>214</v>
      </c>
      <c r="F5" s="128"/>
      <c r="G5" s="128" t="s">
        <v>215</v>
      </c>
      <c r="I5" s="128" t="s">
        <v>216</v>
      </c>
      <c r="J5" s="128"/>
      <c r="L5" s="129" t="s">
        <v>127</v>
      </c>
      <c r="M5" s="165">
        <f ca="1">TOTALGERAL</f>
        <v>0</v>
      </c>
      <c r="N5" s="129"/>
      <c r="O5" s="129"/>
      <c r="P5" s="124"/>
      <c r="Q5" s="124"/>
    </row>
    <row r="6" spans="1:20" ht="45" customHeight="1" x14ac:dyDescent="0.25">
      <c r="A6" s="134"/>
      <c r="B6" s="134"/>
      <c r="C6" s="134"/>
      <c r="D6" s="135"/>
      <c r="E6" s="188"/>
      <c r="F6" s="188"/>
      <c r="G6" s="166">
        <f>BDI!$D$16</f>
        <v>0.2034</v>
      </c>
      <c r="H6" s="136"/>
      <c r="I6" s="188"/>
      <c r="J6" s="188"/>
      <c r="L6" s="129" t="s">
        <v>250</v>
      </c>
      <c r="M6" s="130"/>
      <c r="N6" s="130">
        <f ca="1">M6-M5</f>
        <v>0</v>
      </c>
      <c r="P6" s="131"/>
      <c r="Q6" s="124"/>
    </row>
    <row r="7" spans="1:20" x14ac:dyDescent="0.25">
      <c r="A7" s="134"/>
      <c r="B7" s="134"/>
      <c r="C7" s="134"/>
      <c r="D7" s="134"/>
      <c r="E7" s="128"/>
      <c r="F7" s="128"/>
      <c r="G7" s="128"/>
      <c r="H7" s="128"/>
      <c r="I7" s="128"/>
      <c r="J7" s="128"/>
    </row>
    <row r="8" spans="1:20" x14ac:dyDescent="0.25">
      <c r="A8" s="137" t="s">
        <v>217</v>
      </c>
      <c r="B8" s="137"/>
      <c r="C8" s="137"/>
      <c r="D8" s="137"/>
      <c r="E8" s="137"/>
      <c r="F8" s="137"/>
      <c r="G8" s="137"/>
      <c r="H8" s="137"/>
      <c r="I8" s="137"/>
      <c r="J8" s="137"/>
      <c r="L8" s="138" t="s">
        <v>218</v>
      </c>
      <c r="M8" s="139"/>
      <c r="N8" s="140"/>
      <c r="O8" s="125" t="s">
        <v>134</v>
      </c>
      <c r="P8" s="164">
        <f ca="1">COUNTIFS(INDIRECT("$P$10"):INDIRECT("P"&amp;ÚLTIMALINSINTÉTICO),"ERRO")</f>
        <v>0</v>
      </c>
      <c r="R8" s="164">
        <f ca="1">COUNTIFS(INDIRECT("$R$10"):INDIRECT("R"&amp;ÚLTIMALINSINTÉTICO),"ERRO")</f>
        <v>0</v>
      </c>
    </row>
    <row r="9" spans="1:20" x14ac:dyDescent="0.25">
      <c r="A9" s="141" t="s">
        <v>0</v>
      </c>
      <c r="B9" s="141" t="s">
        <v>1</v>
      </c>
      <c r="C9" s="141" t="s">
        <v>2</v>
      </c>
      <c r="D9" s="141" t="s">
        <v>3</v>
      </c>
      <c r="E9" s="141" t="s">
        <v>4</v>
      </c>
      <c r="F9" s="141" t="s">
        <v>5</v>
      </c>
      <c r="G9" s="141" t="s">
        <v>6</v>
      </c>
      <c r="H9" s="141" t="s">
        <v>219</v>
      </c>
      <c r="I9" s="141" t="s">
        <v>7</v>
      </c>
      <c r="J9" s="141" t="s">
        <v>220</v>
      </c>
      <c r="L9" s="142" t="s">
        <v>6</v>
      </c>
      <c r="M9" s="142" t="s">
        <v>219</v>
      </c>
      <c r="N9" s="142" t="s">
        <v>7</v>
      </c>
      <c r="O9" s="142" t="s">
        <v>221</v>
      </c>
      <c r="P9" s="142" t="s">
        <v>222</v>
      </c>
      <c r="R9" s="141" t="s">
        <v>15</v>
      </c>
      <c r="S9" s="141" t="s">
        <v>223</v>
      </c>
      <c r="T9" s="141" t="s">
        <v>224</v>
      </c>
    </row>
    <row r="10" spans="1:20" x14ac:dyDescent="0.25">
      <c r="A10" s="173"/>
      <c r="B10" s="174"/>
      <c r="C10" s="174"/>
      <c r="D10" s="175"/>
      <c r="E10" s="174"/>
      <c r="F10" s="176"/>
      <c r="G10" s="175"/>
      <c r="H10" s="175" t="str">
        <f>IF(F10="","",TRUNC(G10*(1+BDI),2))</f>
        <v/>
      </c>
      <c r="I10" s="177">
        <f ca="1">IF(
    OR(T10="SERVIÇO",T10="INSUMO"),
    TRUNC(F10*H10,2),
    IF(
        T10="GRUPO",
        SUMIFS(
            SINTÉTICO!$I$10:INDIRECT("SINTÉTICO!$I$"&amp;ÚLTIMALINSINTÉTICO),
            SINTÉTICO!$R$10:INDIRECT("SINTÉTICO!$R$"&amp;ÚLTIMALINSINTÉTICO),
            A10
        )
    )
)</f>
        <v>0</v>
      </c>
      <c r="J10" s="178" t="e">
        <f t="shared" ref="J10" ca="1" si="0">I10/TOTALGERAL</f>
        <v>#DIV/0!</v>
      </c>
      <c r="L10" s="143"/>
      <c r="M10" s="143"/>
      <c r="N10" s="143"/>
      <c r="O10" s="167">
        <f>L10-G10</f>
        <v>0</v>
      </c>
      <c r="P10" s="168" t="str">
        <f>IF(O10&lt;0,"ERRO","OK")</f>
        <v>OK</v>
      </c>
      <c r="R10" s="168" t="str">
        <f>IF($S10=0,"-",IF($S10=1,MID(A10,1,IFERROR(SEARCH(".",A10)-1,1)),IF($S10=2,LEFT(A10,SEARCH(" ",SUBSTITUTE(A10,"."," ",2))-1),IF($S10=3,LEFT(A10,SEARCH(" ",SUBSTITUTE(A10,"."," ",3))-1),IF($S10=4,LEFT(A10,SEARCH(" ",SUBSTITUTE(A10,"."," ",4))-1),IF($S10=5,LEFT(A10,SEARCH(" ",SUBSTITUTE(A10,"."," ",5))-1),"ERRO"))))))</f>
        <v>-</v>
      </c>
      <c r="S10" s="168">
        <f>LEN(A10)-LEN(SUBSTITUTE(A10,".",""))</f>
        <v>0</v>
      </c>
      <c r="T10" s="168" t="str">
        <f>IF(E10="","GRUPO","SERVIÇO")</f>
        <v>GRUPO</v>
      </c>
    </row>
    <row r="11" spans="1:20" x14ac:dyDescent="0.25">
      <c r="R11" s="125"/>
      <c r="S11" s="125"/>
      <c r="T11" s="125"/>
    </row>
    <row r="12" spans="1:20" x14ac:dyDescent="0.25">
      <c r="I12" s="128" t="s">
        <v>9</v>
      </c>
      <c r="J12" s="169" t="e" cm="1">
        <f t="array" aca="1" ref="J12" ca="1">SUMPRODUCT(
  TRUNC(
    SINTÉTICO!$F$10:INDIRECT("SINTÉTICO!$F$" &amp; ÚLTIMALINSINTÉTICO) *
    SINTÉTICO!$G$10:INDIRECT("SINTÉTICO!$G$" &amp; ÚLTIMALINSINTÉTICO),
  2)
)</f>
        <v>#VALUE!</v>
      </c>
    </row>
    <row r="13" spans="1:20" x14ac:dyDescent="0.25">
      <c r="I13" s="128" t="s">
        <v>10</v>
      </c>
      <c r="J13" s="169" t="e">
        <f ca="1">J14-J12</f>
        <v>#VALUE!</v>
      </c>
    </row>
    <row r="14" spans="1:20" x14ac:dyDescent="0.25">
      <c r="I14" s="128" t="s">
        <v>11</v>
      </c>
      <c r="J14" s="169">
        <f ca="1" xml:space="preserve"> SUMIFS(
    SINTÉTICO!$I$10:INDIRECT("SINTÉTICO!$I$" &amp; ÚLTIMALINSINTÉTICO),
    SINTÉTICO!$T$10:INDIRECT("SINTÉTICO!$T$" &amp; ÚLTIMALINSINTÉTICO),
    "SERVIÇO"
)
+ SUMIFS(
    SINTÉTICO!$I$10:INDIRECT("SINTÉTICO!$I$" &amp; ÚLTIMALINSINTÉTICO),
    SINTÉTICO!$T$10:INDIRECT("SINTÉTICO!$T$" &amp; ÚLTIMALINSINTÉTICO),
    "INSUMO"
)</f>
        <v>0</v>
      </c>
    </row>
    <row r="15" spans="1:20" x14ac:dyDescent="0.25">
      <c r="A15" s="170" t="str">
        <f>LOCALEDATA</f>
        <v>Morro do Chapéu/BA, 15 de agosto de 2025.</v>
      </c>
      <c r="J15" s="132"/>
    </row>
    <row r="16" spans="1:20" x14ac:dyDescent="0.25">
      <c r="J16" s="132"/>
    </row>
  </sheetData>
  <sheetProtection formatCells="0" formatColumns="0" formatRows="0" insertColumns="0" insertRows="0" insertHyperlinks="0" deleteColumns="0" deleteRows="0" sort="0" autoFilter="0" pivotTables="0"/>
  <autoFilter ref="A9:T10" xr:uid="{00000000-0001-0000-0000-000000000000}"/>
  <mergeCells count="2">
    <mergeCell ref="I6:J6"/>
    <mergeCell ref="E6:F6"/>
  </mergeCells>
  <phoneticPr fontId="3" type="noConversion"/>
  <conditionalFormatting sqref="G1:J2">
    <cfRule type="cellIs" dxfId="20" priority="3" operator="greaterThan">
      <formula>0</formula>
    </cfRule>
  </conditionalFormatting>
  <conditionalFormatting sqref="P8">
    <cfRule type="cellIs" dxfId="19" priority="2" operator="greaterThan">
      <formula>0</formula>
    </cfRule>
  </conditionalFormatting>
  <conditionalFormatting sqref="R8">
    <cfRule type="cellIs" dxfId="18" priority="1" operator="greaterThan">
      <formula>0</formula>
    </cfRule>
  </conditionalFormatting>
  <printOptions horizontalCentered="1"/>
  <pageMargins left="0.78740157480314965" right="0.78740157480314965" top="1.1811023622047245" bottom="0.78740157480314965" header="0.19685039370078741" footer="0.19685039370078741"/>
  <pageSetup paperSize="9" scale="42" fitToHeight="0" orientation="portrait" r:id="rId1"/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40E07-6520-4305-920D-CAB94B7ACBA7}">
  <sheetPr codeName="Planilha2">
    <tabColor rgb="FFFF0000"/>
    <pageSetUpPr fitToPage="1"/>
  </sheetPr>
  <dimension ref="A2:T28"/>
  <sheetViews>
    <sheetView showGridLines="0" view="pageBreakPreview" zoomScale="85" zoomScaleNormal="100" zoomScaleSheetLayoutView="85" workbookViewId="0">
      <selection activeCell="E6" sqref="E6"/>
    </sheetView>
  </sheetViews>
  <sheetFormatPr defaultColWidth="8.69921875" defaultRowHeight="13.8" x14ac:dyDescent="0.25"/>
  <cols>
    <col min="1" max="1" width="5.8984375" style="19" customWidth="1"/>
    <col min="2" max="2" width="27.8984375" style="19" customWidth="1"/>
    <col min="3" max="3" width="15" style="19" bestFit="1" customWidth="1"/>
    <col min="4" max="4" width="8" style="19" bestFit="1" customWidth="1"/>
    <col min="5" max="5" width="7.09765625" style="19" bestFit="1" customWidth="1"/>
    <col min="6" max="6" width="8" style="19" bestFit="1" customWidth="1"/>
    <col min="7" max="7" width="6.09765625" style="19" bestFit="1" customWidth="1"/>
    <col min="8" max="8" width="8.8984375" style="19" bestFit="1" customWidth="1"/>
    <col min="9" max="9" width="6.09765625" style="19" bestFit="1" customWidth="1"/>
    <col min="10" max="10" width="8" style="18" bestFit="1" customWidth="1"/>
    <col min="11" max="11" width="6.09765625" style="19" bestFit="1" customWidth="1"/>
    <col min="12" max="12" width="8" style="19" bestFit="1" customWidth="1"/>
    <col min="13" max="13" width="6.09765625" style="19" bestFit="1" customWidth="1"/>
    <col min="14" max="14" width="8" style="19" bestFit="1" customWidth="1"/>
    <col min="15" max="15" width="6.09765625" style="19" bestFit="1" customWidth="1"/>
    <col min="16" max="16" width="8" style="19" bestFit="1" customWidth="1"/>
    <col min="17" max="17" width="7.09765625" style="19" bestFit="1" customWidth="1"/>
    <col min="18" max="18" width="8" style="19" bestFit="1" customWidth="1"/>
    <col min="19" max="19" width="6.09765625" style="19" bestFit="1" customWidth="1"/>
    <col min="20" max="20" width="11.19921875" style="19" bestFit="1" customWidth="1"/>
    <col min="21" max="16384" width="8.69921875" style="19"/>
  </cols>
  <sheetData>
    <row r="2" spans="1:20" x14ac:dyDescent="0.25">
      <c r="A2" s="17"/>
      <c r="B2" s="2"/>
      <c r="C2" s="2"/>
      <c r="D2" s="2"/>
      <c r="E2" s="2"/>
      <c r="F2" s="2"/>
      <c r="G2" s="2"/>
      <c r="H2" s="2"/>
      <c r="I2" s="2"/>
    </row>
    <row r="3" spans="1:20" x14ac:dyDescent="0.25">
      <c r="A3" s="179" t="s">
        <v>16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</row>
    <row r="4" spans="1:20" x14ac:dyDescent="0.25">
      <c r="A4" s="180" t="s">
        <v>0</v>
      </c>
      <c r="B4" s="180" t="s">
        <v>3</v>
      </c>
      <c r="C4" s="180" t="s">
        <v>110</v>
      </c>
      <c r="D4" s="181">
        <v>1</v>
      </c>
      <c r="E4" s="182"/>
      <c r="F4" s="181">
        <v>2</v>
      </c>
      <c r="G4" s="182"/>
      <c r="H4" s="181">
        <v>3</v>
      </c>
      <c r="I4" s="182"/>
      <c r="J4" s="181">
        <v>4</v>
      </c>
      <c r="K4" s="182"/>
      <c r="L4" s="181">
        <v>5</v>
      </c>
      <c r="M4" s="182"/>
      <c r="N4" s="181">
        <v>6</v>
      </c>
      <c r="O4" s="182"/>
      <c r="P4" s="181">
        <v>7</v>
      </c>
      <c r="Q4" s="182"/>
      <c r="R4" s="181">
        <v>8</v>
      </c>
      <c r="S4" s="182"/>
    </row>
    <row r="5" spans="1:20" x14ac:dyDescent="0.25">
      <c r="A5" s="180"/>
      <c r="B5" s="180"/>
      <c r="C5" s="180"/>
      <c r="D5" s="180" t="s">
        <v>111</v>
      </c>
      <c r="E5" s="180"/>
      <c r="F5" s="180" t="s">
        <v>112</v>
      </c>
      <c r="G5" s="180"/>
      <c r="H5" s="180" t="s">
        <v>113</v>
      </c>
      <c r="I5" s="180"/>
      <c r="J5" s="180" t="s">
        <v>114</v>
      </c>
      <c r="K5" s="180"/>
      <c r="L5" s="180" t="s">
        <v>115</v>
      </c>
      <c r="M5" s="180"/>
      <c r="N5" s="180" t="s">
        <v>116</v>
      </c>
      <c r="O5" s="180"/>
      <c r="P5" s="180" t="s">
        <v>165</v>
      </c>
      <c r="Q5" s="180"/>
      <c r="R5" s="180" t="s">
        <v>166</v>
      </c>
      <c r="S5" s="180"/>
    </row>
    <row r="6" spans="1:20" x14ac:dyDescent="0.3">
      <c r="A6" s="133" t="s">
        <v>196</v>
      </c>
      <c r="B6" s="20" t="e" cm="1">
        <f t="array" aca="1" ref="B6" ca="1">_xlfn.XLOOKUP($A6, INDIRECT("SINTÉTICO!$A$7:$A$" &amp; ÚLTIMALINSINTÉTICO), INDIRECT("SINTÉTICO!$D$7:$D$" &amp; ÚLTIMALINSINTÉTICO))</f>
        <v>#N/A</v>
      </c>
      <c r="C6" s="21" t="e" cm="1">
        <f t="array" aca="1" ref="C6" ca="1">_xlfn.XLOOKUP($A6, INDIRECT("SINTÉTICO!$A$7:$A$" &amp; ÚLTIMALINSINTÉTICO), INDIRECT("SINTÉTICO!$I$7:$I$" &amp; ÚLTIMALINSINTÉTICO))</f>
        <v>#N/A</v>
      </c>
      <c r="D6" s="23" t="e">
        <f ca="1">IF(E6="","",$C6*E6)</f>
        <v>#N/A</v>
      </c>
      <c r="E6" s="24">
        <v>0.125</v>
      </c>
      <c r="F6" s="23" t="e">
        <f t="shared" ref="F6:H22" ca="1" si="0">IF(G6="","",$C6*G6)</f>
        <v>#N/A</v>
      </c>
      <c r="G6" s="24">
        <v>0.125</v>
      </c>
      <c r="H6" s="23" t="e">
        <f t="shared" ca="1" si="0"/>
        <v>#N/A</v>
      </c>
      <c r="I6" s="24">
        <v>0.125</v>
      </c>
      <c r="J6" s="23" t="e">
        <f t="shared" ref="J6" ca="1" si="1">IF(K6="","",$C6*K6)</f>
        <v>#N/A</v>
      </c>
      <c r="K6" s="24">
        <v>0.125</v>
      </c>
      <c r="L6" s="23" t="e">
        <f t="shared" ref="L6" ca="1" si="2">IF(M6="","",$C6*M6)</f>
        <v>#N/A</v>
      </c>
      <c r="M6" s="24">
        <v>0.125</v>
      </c>
      <c r="N6" s="23" t="e">
        <f t="shared" ref="N6" ca="1" si="3">IF(O6="","",$C6*O6)</f>
        <v>#N/A</v>
      </c>
      <c r="O6" s="24">
        <v>0.125</v>
      </c>
      <c r="P6" s="23" t="e">
        <f t="shared" ref="P6" ca="1" si="4">IF(Q6="","",$C6*Q6)</f>
        <v>#N/A</v>
      </c>
      <c r="Q6" s="24">
        <v>0.125</v>
      </c>
      <c r="R6" s="23" t="e">
        <f t="shared" ref="R6" ca="1" si="5">IF(S6="","",$C6*S6)</f>
        <v>#N/A</v>
      </c>
      <c r="S6" s="24">
        <v>0.125</v>
      </c>
      <c r="T6" s="22" cm="1">
        <f t="array" ref="T6">SUM(INDEX(D6:S6,_xlfn.SEQUENCE(1,$R$4,2,2)))</f>
        <v>1</v>
      </c>
    </row>
    <row r="7" spans="1:20" x14ac:dyDescent="0.3">
      <c r="A7" s="133" t="s">
        <v>197</v>
      </c>
      <c r="B7" s="20" t="e" cm="1">
        <f t="array" aca="1" ref="B7" ca="1">_xlfn.XLOOKUP($A7, INDIRECT("SINTÉTICO!$A$7:$A$" &amp; ÚLTIMALINSINTÉTICO), INDIRECT("SINTÉTICO!$D$7:$D$" &amp; ÚLTIMALINSINTÉTICO))</f>
        <v>#N/A</v>
      </c>
      <c r="C7" s="21" t="e" cm="1">
        <f t="array" aca="1" ref="C7" ca="1">_xlfn.XLOOKUP($A7, INDIRECT("SINTÉTICO!$A$7:$A$" &amp; ÚLTIMALINSINTÉTICO), INDIRECT("SINTÉTICO!$I$7:$I$" &amp; ÚLTIMALINSINTÉTICO))</f>
        <v>#N/A</v>
      </c>
      <c r="D7" s="23" t="e">
        <f t="shared" ref="D7:D22" ca="1" si="6">IF(E7="","",$C7*E7)</f>
        <v>#N/A</v>
      </c>
      <c r="E7" s="24">
        <v>1</v>
      </c>
      <c r="F7" s="23" t="str">
        <f t="shared" si="0"/>
        <v/>
      </c>
      <c r="G7" s="24"/>
      <c r="H7" s="23" t="str">
        <f t="shared" si="0"/>
        <v/>
      </c>
      <c r="I7" s="24"/>
      <c r="J7" s="23" t="str">
        <f t="shared" ref="J7" si="7">IF(K7="","",$C7*K7)</f>
        <v/>
      </c>
      <c r="K7" s="24"/>
      <c r="L7" s="23" t="str">
        <f t="shared" ref="L7" si="8">IF(M7="","",$C7*M7)</f>
        <v/>
      </c>
      <c r="M7" s="24"/>
      <c r="N7" s="23" t="str">
        <f t="shared" ref="N7" si="9">IF(O7="","",$C7*O7)</f>
        <v/>
      </c>
      <c r="O7" s="24"/>
      <c r="P7" s="23" t="str">
        <f t="shared" ref="P7" si="10">IF(Q7="","",$C7*Q7)</f>
        <v/>
      </c>
      <c r="Q7" s="24"/>
      <c r="R7" s="23" t="str">
        <f t="shared" ref="R7" si="11">IF(S7="","",$C7*S7)</f>
        <v/>
      </c>
      <c r="S7" s="24"/>
      <c r="T7" s="22" cm="1">
        <f t="array" ref="T7">SUM(INDEX(D7:S7,_xlfn.SEQUENCE(1,$R$4,2,2)))</f>
        <v>1</v>
      </c>
    </row>
    <row r="8" spans="1:20" x14ac:dyDescent="0.3">
      <c r="A8" s="133" t="s">
        <v>198</v>
      </c>
      <c r="B8" s="20" t="e" cm="1">
        <f t="array" aca="1" ref="B8" ca="1">_xlfn.XLOOKUP($A8, INDIRECT("SINTÉTICO!$A$7:$A$" &amp; ÚLTIMALINSINTÉTICO), INDIRECT("SINTÉTICO!$D$7:$D$" &amp; ÚLTIMALINSINTÉTICO))</f>
        <v>#N/A</v>
      </c>
      <c r="C8" s="21" t="e" cm="1">
        <f t="array" aca="1" ref="C8" ca="1">_xlfn.XLOOKUP($A8, INDIRECT("SINTÉTICO!$A$7:$A$" &amp; ÚLTIMALINSINTÉTICO), INDIRECT("SINTÉTICO!$I$7:$I$" &amp; ÚLTIMALINSINTÉTICO))</f>
        <v>#N/A</v>
      </c>
      <c r="D8" s="23" t="e">
        <f t="shared" ca="1" si="6"/>
        <v>#N/A</v>
      </c>
      <c r="E8" s="24">
        <v>0.3</v>
      </c>
      <c r="F8" s="23" t="e">
        <f t="shared" ca="1" si="0"/>
        <v>#N/A</v>
      </c>
      <c r="G8" s="24">
        <v>0.3</v>
      </c>
      <c r="H8" s="23" t="e">
        <f t="shared" ca="1" si="0"/>
        <v>#N/A</v>
      </c>
      <c r="I8" s="24">
        <v>0.25</v>
      </c>
      <c r="J8" s="23" t="e">
        <f t="shared" ref="J8" ca="1" si="12">IF(K8="","",$C8*K8)</f>
        <v>#N/A</v>
      </c>
      <c r="K8" s="24">
        <v>0.15</v>
      </c>
      <c r="L8" s="23" t="str">
        <f t="shared" ref="L8" si="13">IF(M8="","",$C8*M8)</f>
        <v/>
      </c>
      <c r="M8" s="24"/>
      <c r="N8" s="23" t="str">
        <f t="shared" ref="N8" si="14">IF(O8="","",$C8*O8)</f>
        <v/>
      </c>
      <c r="O8" s="24"/>
      <c r="P8" s="23" t="str">
        <f t="shared" ref="P8" si="15">IF(Q8="","",$C8*Q8)</f>
        <v/>
      </c>
      <c r="Q8" s="24"/>
      <c r="R8" s="23" t="str">
        <f t="shared" ref="R8" si="16">IF(S8="","",$C8*S8)</f>
        <v/>
      </c>
      <c r="S8" s="24"/>
      <c r="T8" s="22" cm="1">
        <f t="array" ref="T8">SUM(INDEX(D8:S8,_xlfn.SEQUENCE(1,$R$4,2,2)))</f>
        <v>1</v>
      </c>
    </row>
    <row r="9" spans="1:20" x14ac:dyDescent="0.3">
      <c r="A9" s="133" t="s">
        <v>199</v>
      </c>
      <c r="B9" s="20" t="e" cm="1">
        <f t="array" aca="1" ref="B9" ca="1">_xlfn.XLOOKUP($A9, INDIRECT("SINTÉTICO!$A$7:$A$" &amp; ÚLTIMALINSINTÉTICO), INDIRECT("SINTÉTICO!$D$7:$D$" &amp; ÚLTIMALINSINTÉTICO))</f>
        <v>#N/A</v>
      </c>
      <c r="C9" s="21" t="e" cm="1">
        <f t="array" aca="1" ref="C9" ca="1">_xlfn.XLOOKUP($A9, INDIRECT("SINTÉTICO!$A$7:$A$" &amp; ÚLTIMALINSINTÉTICO), INDIRECT("SINTÉTICO!$I$7:$I$" &amp; ÚLTIMALINSINTÉTICO))</f>
        <v>#N/A</v>
      </c>
      <c r="D9" s="23" t="str">
        <f t="shared" si="6"/>
        <v/>
      </c>
      <c r="E9" s="24"/>
      <c r="F9" s="23" t="str">
        <f t="shared" si="0"/>
        <v/>
      </c>
      <c r="G9" s="24"/>
      <c r="H9" s="23" t="e">
        <f t="shared" ca="1" si="0"/>
        <v>#N/A</v>
      </c>
      <c r="I9" s="24">
        <v>0.2</v>
      </c>
      <c r="J9" s="23" t="e">
        <f t="shared" ref="J9" ca="1" si="17">IF(K9="","",$C9*K9)</f>
        <v>#N/A</v>
      </c>
      <c r="K9" s="24">
        <v>0.2</v>
      </c>
      <c r="L9" s="23" t="e">
        <f t="shared" ref="L9" ca="1" si="18">IF(M9="","",$C9*M9)</f>
        <v>#N/A</v>
      </c>
      <c r="M9" s="24">
        <v>0.3</v>
      </c>
      <c r="N9" s="23" t="e">
        <f t="shared" ref="N9" ca="1" si="19">IF(O9="","",$C9*O9)</f>
        <v>#N/A</v>
      </c>
      <c r="O9" s="24">
        <v>0.2</v>
      </c>
      <c r="P9" s="23" t="e">
        <f t="shared" ref="P9" ca="1" si="20">IF(Q9="","",$C9*Q9)</f>
        <v>#N/A</v>
      </c>
      <c r="Q9" s="24">
        <v>0.1</v>
      </c>
      <c r="R9" s="23" t="str">
        <f t="shared" ref="R9" si="21">IF(S9="","",$C9*S9)</f>
        <v/>
      </c>
      <c r="S9" s="24"/>
      <c r="T9" s="22" cm="1">
        <f t="array" ref="T9">SUM(INDEX(D9:S9,_xlfn.SEQUENCE(1,$R$4,2,2)))</f>
        <v>0.99999999999999989</v>
      </c>
    </row>
    <row r="10" spans="1:20" x14ac:dyDescent="0.3">
      <c r="A10" s="133" t="s">
        <v>200</v>
      </c>
      <c r="B10" s="20" t="e" cm="1">
        <f t="array" aca="1" ref="B10" ca="1">_xlfn.XLOOKUP($A10, INDIRECT("SINTÉTICO!$A$7:$A$" &amp; ÚLTIMALINSINTÉTICO), INDIRECT("SINTÉTICO!$D$7:$D$" &amp; ÚLTIMALINSINTÉTICO))</f>
        <v>#N/A</v>
      </c>
      <c r="C10" s="21" t="e" cm="1">
        <f t="array" aca="1" ref="C10" ca="1">_xlfn.XLOOKUP($A10, INDIRECT("SINTÉTICO!$A$7:$A$" &amp; ÚLTIMALINSINTÉTICO), INDIRECT("SINTÉTICO!$I$7:$I$" &amp; ÚLTIMALINSINTÉTICO))</f>
        <v>#N/A</v>
      </c>
      <c r="D10" s="23" t="str">
        <f t="shared" si="6"/>
        <v/>
      </c>
      <c r="E10" s="24"/>
      <c r="F10" s="23" t="str">
        <f t="shared" si="0"/>
        <v/>
      </c>
      <c r="G10" s="24"/>
      <c r="H10" s="23" t="e">
        <f t="shared" ca="1" si="0"/>
        <v>#N/A</v>
      </c>
      <c r="I10" s="24">
        <v>0.3</v>
      </c>
      <c r="J10" s="23" t="e">
        <f t="shared" ref="J10" ca="1" si="22">IF(K10="","",$C10*K10)</f>
        <v>#N/A</v>
      </c>
      <c r="K10" s="24">
        <v>0.2</v>
      </c>
      <c r="L10" s="23" t="e">
        <f t="shared" ref="L10" ca="1" si="23">IF(M10="","",$C10*M10)</f>
        <v>#N/A</v>
      </c>
      <c r="M10" s="24">
        <v>0.2</v>
      </c>
      <c r="N10" s="23" t="e">
        <f t="shared" ref="N10" ca="1" si="24">IF(O10="","",$C10*O10)</f>
        <v>#N/A</v>
      </c>
      <c r="O10" s="24">
        <v>0.2</v>
      </c>
      <c r="P10" s="23" t="e">
        <f t="shared" ref="P10" ca="1" si="25">IF(Q10="","",$C10*Q10)</f>
        <v>#N/A</v>
      </c>
      <c r="Q10" s="24">
        <v>0.1</v>
      </c>
      <c r="R10" s="23" t="str">
        <f t="shared" ref="R10" si="26">IF(S10="","",$C10*S10)</f>
        <v/>
      </c>
      <c r="S10" s="24"/>
      <c r="T10" s="22" cm="1">
        <f t="array" ref="T10">SUM(INDEX(D10:S10,_xlfn.SEQUENCE(1,$R$4,2,2)))</f>
        <v>0.99999999999999989</v>
      </c>
    </row>
    <row r="11" spans="1:20" x14ac:dyDescent="0.3">
      <c r="A11" s="133" t="s">
        <v>201</v>
      </c>
      <c r="B11" s="20" t="e" cm="1">
        <f t="array" aca="1" ref="B11" ca="1">_xlfn.XLOOKUP($A11, INDIRECT("SINTÉTICO!$A$7:$A$" &amp; ÚLTIMALINSINTÉTICO), INDIRECT("SINTÉTICO!$D$7:$D$" &amp; ÚLTIMALINSINTÉTICO))</f>
        <v>#N/A</v>
      </c>
      <c r="C11" s="21" t="e" cm="1">
        <f t="array" aca="1" ref="C11" ca="1">_xlfn.XLOOKUP($A11, INDIRECT("SINTÉTICO!$A$7:$A$" &amp; ÚLTIMALINSINTÉTICO), INDIRECT("SINTÉTICO!$I$7:$I$" &amp; ÚLTIMALINSINTÉTICO))</f>
        <v>#N/A</v>
      </c>
      <c r="D11" s="23" t="str">
        <f t="shared" si="6"/>
        <v/>
      </c>
      <c r="E11" s="24"/>
      <c r="F11" s="23" t="str">
        <f t="shared" si="0"/>
        <v/>
      </c>
      <c r="G11" s="24"/>
      <c r="H11" s="23" t="str">
        <f t="shared" si="0"/>
        <v/>
      </c>
      <c r="I11" s="24"/>
      <c r="J11" s="23" t="e">
        <f t="shared" ref="J11" ca="1" si="27">IF(K11="","",$C11*K11)</f>
        <v>#N/A</v>
      </c>
      <c r="K11" s="24">
        <v>0.2</v>
      </c>
      <c r="L11" s="23" t="e">
        <f t="shared" ref="L11" ca="1" si="28">IF(M11="","",$C11*M11)</f>
        <v>#N/A</v>
      </c>
      <c r="M11" s="24">
        <v>0.2</v>
      </c>
      <c r="N11" s="23" t="e">
        <f t="shared" ref="N11" ca="1" si="29">IF(O11="","",$C11*O11)</f>
        <v>#N/A</v>
      </c>
      <c r="O11" s="24">
        <v>0.3</v>
      </c>
      <c r="P11" s="23" t="e">
        <f t="shared" ref="P11" ca="1" si="30">IF(Q11="","",$C11*Q11)</f>
        <v>#N/A</v>
      </c>
      <c r="Q11" s="24">
        <v>0.3</v>
      </c>
      <c r="R11" s="23" t="str">
        <f t="shared" ref="R11" si="31">IF(S11="","",$C11*S11)</f>
        <v/>
      </c>
      <c r="S11" s="24"/>
      <c r="T11" s="22" cm="1">
        <f t="array" ref="T11">SUM(INDEX(D11:S11,_xlfn.SEQUENCE(1,$R$4,2,2)))</f>
        <v>1</v>
      </c>
    </row>
    <row r="12" spans="1:20" x14ac:dyDescent="0.3">
      <c r="A12" s="133" t="s">
        <v>202</v>
      </c>
      <c r="B12" s="20" t="e" cm="1">
        <f t="array" aca="1" ref="B12" ca="1">_xlfn.XLOOKUP($A12, INDIRECT("SINTÉTICO!$A$7:$A$" &amp; ÚLTIMALINSINTÉTICO), INDIRECT("SINTÉTICO!$D$7:$D$" &amp; ÚLTIMALINSINTÉTICO))</f>
        <v>#N/A</v>
      </c>
      <c r="C12" s="21" t="e" cm="1">
        <f t="array" aca="1" ref="C12" ca="1">_xlfn.XLOOKUP($A12, INDIRECT("SINTÉTICO!$A$7:$A$" &amp; ÚLTIMALINSINTÉTICO), INDIRECT("SINTÉTICO!$I$7:$I$" &amp; ÚLTIMALINSINTÉTICO))</f>
        <v>#N/A</v>
      </c>
      <c r="D12" s="23" t="str">
        <f t="shared" si="6"/>
        <v/>
      </c>
      <c r="E12" s="24"/>
      <c r="F12" s="23" t="str">
        <f t="shared" si="0"/>
        <v/>
      </c>
      <c r="G12" s="24"/>
      <c r="H12" s="23" t="str">
        <f t="shared" si="0"/>
        <v/>
      </c>
      <c r="I12" s="24"/>
      <c r="J12" s="23" t="str">
        <f t="shared" ref="J12" si="32">IF(K12="","",$C12*K12)</f>
        <v/>
      </c>
      <c r="K12" s="24"/>
      <c r="L12" s="23" t="str">
        <f t="shared" ref="L12" si="33">IF(M12="","",$C12*M12)</f>
        <v/>
      </c>
      <c r="M12" s="24"/>
      <c r="N12" s="23" t="e">
        <f t="shared" ref="N12" ca="1" si="34">IF(O12="","",$C12*O12)</f>
        <v>#N/A</v>
      </c>
      <c r="O12" s="24">
        <v>0.2</v>
      </c>
      <c r="P12" s="23" t="e">
        <f t="shared" ref="P12" ca="1" si="35">IF(Q12="","",$C12*Q12)</f>
        <v>#N/A</v>
      </c>
      <c r="Q12" s="24">
        <v>0.3</v>
      </c>
      <c r="R12" s="23" t="e">
        <f t="shared" ref="R12" ca="1" si="36">IF(S12="","",$C12*S12)</f>
        <v>#N/A</v>
      </c>
      <c r="S12" s="24">
        <v>0.5</v>
      </c>
      <c r="T12" s="22" cm="1">
        <f t="array" ref="T12">SUM(INDEX(D12:S12,_xlfn.SEQUENCE(1,$R$4,2,2)))</f>
        <v>1</v>
      </c>
    </row>
    <row r="13" spans="1:20" x14ac:dyDescent="0.3">
      <c r="A13" s="133" t="s">
        <v>203</v>
      </c>
      <c r="B13" s="20" t="e" cm="1">
        <f t="array" aca="1" ref="B13" ca="1">_xlfn.XLOOKUP($A13, INDIRECT("SINTÉTICO!$A$7:$A$" &amp; ÚLTIMALINSINTÉTICO), INDIRECT("SINTÉTICO!$D$7:$D$" &amp; ÚLTIMALINSINTÉTICO))</f>
        <v>#N/A</v>
      </c>
      <c r="C13" s="21" t="e" cm="1">
        <f t="array" aca="1" ref="C13" ca="1">_xlfn.XLOOKUP($A13, INDIRECT("SINTÉTICO!$A$7:$A$" &amp; ÚLTIMALINSINTÉTICO), INDIRECT("SINTÉTICO!$I$7:$I$" &amp; ÚLTIMALINSINTÉTICO))</f>
        <v>#N/A</v>
      </c>
      <c r="D13" s="23" t="e">
        <f t="shared" ca="1" si="6"/>
        <v>#N/A</v>
      </c>
      <c r="E13" s="24">
        <v>0.05</v>
      </c>
      <c r="F13" s="23" t="e">
        <f t="shared" ca="1" si="0"/>
        <v>#N/A</v>
      </c>
      <c r="G13" s="24">
        <v>0.15</v>
      </c>
      <c r="H13" s="23" t="e">
        <f t="shared" ca="1" si="0"/>
        <v>#N/A</v>
      </c>
      <c r="I13" s="24">
        <v>0.2</v>
      </c>
      <c r="J13" s="23" t="e">
        <f t="shared" ref="J13" ca="1" si="37">IF(K13="","",$C13*K13)</f>
        <v>#N/A</v>
      </c>
      <c r="K13" s="24">
        <v>0.3</v>
      </c>
      <c r="L13" s="23" t="e">
        <f t="shared" ref="L13" ca="1" si="38">IF(M13="","",$C13*M13)</f>
        <v>#N/A</v>
      </c>
      <c r="M13" s="24">
        <v>0.2</v>
      </c>
      <c r="N13" s="23" t="e">
        <f t="shared" ref="N13" ca="1" si="39">IF(O13="","",$C13*O13)</f>
        <v>#N/A</v>
      </c>
      <c r="O13" s="24">
        <v>0.05</v>
      </c>
      <c r="P13" s="23" t="e">
        <f t="shared" ref="P13" ca="1" si="40">IF(Q13="","",$C13*Q13)</f>
        <v>#N/A</v>
      </c>
      <c r="Q13" s="24">
        <v>0.05</v>
      </c>
      <c r="R13" s="23" t="str">
        <f t="shared" ref="R13" si="41">IF(S13="","",$C13*S13)</f>
        <v/>
      </c>
      <c r="S13" s="24"/>
      <c r="T13" s="22" cm="1">
        <f t="array" ref="T13">SUM(INDEX(D13:S13,_xlfn.SEQUENCE(1,$R$4,2,2)))</f>
        <v>1</v>
      </c>
    </row>
    <row r="14" spans="1:20" x14ac:dyDescent="0.3">
      <c r="A14" s="133" t="s">
        <v>204</v>
      </c>
      <c r="B14" s="20" t="e" cm="1">
        <f t="array" aca="1" ref="B14" ca="1">_xlfn.XLOOKUP($A14, INDIRECT("SINTÉTICO!$A$7:$A$" &amp; ÚLTIMALINSINTÉTICO), INDIRECT("SINTÉTICO!$D$7:$D$" &amp; ÚLTIMALINSINTÉTICO))</f>
        <v>#N/A</v>
      </c>
      <c r="C14" s="21" t="e" cm="1">
        <f t="array" aca="1" ref="C14" ca="1">_xlfn.XLOOKUP($A14, INDIRECT("SINTÉTICO!$A$7:$A$" &amp; ÚLTIMALINSINTÉTICO), INDIRECT("SINTÉTICO!$I$7:$I$" &amp; ÚLTIMALINSINTÉTICO))</f>
        <v>#N/A</v>
      </c>
      <c r="D14" s="23" t="str">
        <f t="shared" si="6"/>
        <v/>
      </c>
      <c r="E14" s="24"/>
      <c r="F14" s="23" t="str">
        <f t="shared" si="0"/>
        <v/>
      </c>
      <c r="G14" s="24"/>
      <c r="H14" s="23" t="str">
        <f t="shared" si="0"/>
        <v/>
      </c>
      <c r="I14" s="24"/>
      <c r="J14" s="23" t="str">
        <f t="shared" ref="J14" si="42">IF(K14="","",$C14*K14)</f>
        <v/>
      </c>
      <c r="K14" s="24"/>
      <c r="L14" s="23" t="e">
        <f t="shared" ref="L14" ca="1" si="43">IF(M14="","",$C14*M14)</f>
        <v>#N/A</v>
      </c>
      <c r="M14" s="24">
        <v>0.3</v>
      </c>
      <c r="N14" s="23" t="str">
        <f t="shared" ref="N14" si="44">IF(O14="","",$C14*O14)</f>
        <v/>
      </c>
      <c r="O14" s="24"/>
      <c r="P14" s="23" t="e">
        <f t="shared" ref="P14" ca="1" si="45">IF(Q14="","",$C14*Q14)</f>
        <v>#N/A</v>
      </c>
      <c r="Q14" s="24">
        <v>0.7</v>
      </c>
      <c r="R14" s="23" t="str">
        <f t="shared" ref="R14" si="46">IF(S14="","",$C14*S14)</f>
        <v/>
      </c>
      <c r="S14" s="24"/>
      <c r="T14" s="22" cm="1">
        <f t="array" ref="T14">SUM(INDEX(D14:S14,_xlfn.SEQUENCE(1,$R$4,2,2)))</f>
        <v>1</v>
      </c>
    </row>
    <row r="15" spans="1:20" x14ac:dyDescent="0.3">
      <c r="A15" s="133" t="s">
        <v>205</v>
      </c>
      <c r="B15" s="20" t="e" cm="1">
        <f t="array" aca="1" ref="B15" ca="1">_xlfn.XLOOKUP($A15, INDIRECT("SINTÉTICO!$A$7:$A$" &amp; ÚLTIMALINSINTÉTICO), INDIRECT("SINTÉTICO!$D$7:$D$" &amp; ÚLTIMALINSINTÉTICO))</f>
        <v>#N/A</v>
      </c>
      <c r="C15" s="21" t="e" cm="1">
        <f t="array" aca="1" ref="C15" ca="1">_xlfn.XLOOKUP($A15, INDIRECT("SINTÉTICO!$A$7:$A$" &amp; ÚLTIMALINSINTÉTICO), INDIRECT("SINTÉTICO!$I$7:$I$" &amp; ÚLTIMALINSINTÉTICO))</f>
        <v>#N/A</v>
      </c>
      <c r="D15" s="23" t="str">
        <f t="shared" si="6"/>
        <v/>
      </c>
      <c r="E15" s="24"/>
      <c r="F15" s="23" t="str">
        <f t="shared" si="0"/>
        <v/>
      </c>
      <c r="G15" s="24"/>
      <c r="H15" s="23" t="str">
        <f t="shared" si="0"/>
        <v/>
      </c>
      <c r="I15" s="24"/>
      <c r="J15" s="23" t="str">
        <f t="shared" ref="J15" si="47">IF(K15="","",$C15*K15)</f>
        <v/>
      </c>
      <c r="K15" s="24"/>
      <c r="L15" s="23" t="str">
        <f t="shared" ref="L15" si="48">IF(M15="","",$C15*M15)</f>
        <v/>
      </c>
      <c r="M15" s="24"/>
      <c r="N15" s="23" t="str">
        <f t="shared" ref="N15" si="49">IF(O15="","",$C15*O15)</f>
        <v/>
      </c>
      <c r="O15" s="24"/>
      <c r="P15" s="23" t="e">
        <f t="shared" ref="P15" ca="1" si="50">IF(Q15="","",$C15*Q15)</f>
        <v>#N/A</v>
      </c>
      <c r="Q15" s="24">
        <v>0.4</v>
      </c>
      <c r="R15" s="23" t="e">
        <f t="shared" ref="R15" ca="1" si="51">IF(S15="","",$C15*S15)</f>
        <v>#N/A</v>
      </c>
      <c r="S15" s="24">
        <v>0.6</v>
      </c>
      <c r="T15" s="22" cm="1">
        <f t="array" ref="T15">SUM(INDEX(D15:S15,_xlfn.SEQUENCE(1,$R$4,2,2)))</f>
        <v>1</v>
      </c>
    </row>
    <row r="16" spans="1:20" x14ac:dyDescent="0.3">
      <c r="A16" s="133" t="s">
        <v>206</v>
      </c>
      <c r="B16" s="20" t="e" cm="1">
        <f t="array" aca="1" ref="B16" ca="1">_xlfn.XLOOKUP($A16, INDIRECT("SINTÉTICO!$A$7:$A$" &amp; ÚLTIMALINSINTÉTICO), INDIRECT("SINTÉTICO!$D$7:$D$" &amp; ÚLTIMALINSINTÉTICO))</f>
        <v>#N/A</v>
      </c>
      <c r="C16" s="21" t="e" cm="1">
        <f t="array" aca="1" ref="C16" ca="1">_xlfn.XLOOKUP($A16, INDIRECT("SINTÉTICO!$A$7:$A$" &amp; ÚLTIMALINSINTÉTICO), INDIRECT("SINTÉTICO!$I$7:$I$" &amp; ÚLTIMALINSINTÉTICO))</f>
        <v>#N/A</v>
      </c>
      <c r="D16" s="23" t="e">
        <f t="shared" ca="1" si="6"/>
        <v>#N/A</v>
      </c>
      <c r="E16" s="24">
        <v>0.1</v>
      </c>
      <c r="F16" s="23" t="e">
        <f t="shared" ca="1" si="0"/>
        <v>#N/A</v>
      </c>
      <c r="G16" s="24">
        <v>0.2</v>
      </c>
      <c r="H16" s="23" t="e">
        <f t="shared" ca="1" si="0"/>
        <v>#N/A</v>
      </c>
      <c r="I16" s="24">
        <v>0.3</v>
      </c>
      <c r="J16" s="23" t="e">
        <f t="shared" ref="J16" ca="1" si="52">IF(K16="","",$C16*K16)</f>
        <v>#N/A</v>
      </c>
      <c r="K16" s="24">
        <v>0.3</v>
      </c>
      <c r="L16" s="23" t="e">
        <f t="shared" ref="L16" ca="1" si="53">IF(M16="","",$C16*M16)</f>
        <v>#N/A</v>
      </c>
      <c r="M16" s="24">
        <v>0.1</v>
      </c>
      <c r="N16" s="23" t="str">
        <f t="shared" ref="N16" si="54">IF(O16="","",$C16*O16)</f>
        <v/>
      </c>
      <c r="O16" s="24"/>
      <c r="P16" s="23" t="str">
        <f t="shared" ref="P16" si="55">IF(Q16="","",$C16*Q16)</f>
        <v/>
      </c>
      <c r="Q16" s="24"/>
      <c r="R16" s="23" t="str">
        <f t="shared" ref="R16" si="56">IF(S16="","",$C16*S16)</f>
        <v/>
      </c>
      <c r="S16" s="24"/>
      <c r="T16" s="22" cm="1">
        <f t="array" ref="T16">SUM(INDEX(D16:S16,_xlfn.SEQUENCE(1,$R$4,2,2)))</f>
        <v>1.0000000000000002</v>
      </c>
    </row>
    <row r="17" spans="1:20" x14ac:dyDescent="0.3">
      <c r="A17" s="133" t="s">
        <v>207</v>
      </c>
      <c r="B17" s="20" t="e" cm="1">
        <f t="array" aca="1" ref="B17" ca="1">_xlfn.XLOOKUP($A17, INDIRECT("SINTÉTICO!$A$7:$A$" &amp; ÚLTIMALINSINTÉTICO), INDIRECT("SINTÉTICO!$D$7:$D$" &amp; ÚLTIMALINSINTÉTICO))</f>
        <v>#N/A</v>
      </c>
      <c r="C17" s="21" t="e" cm="1">
        <f t="array" aca="1" ref="C17" ca="1">_xlfn.XLOOKUP($A17, INDIRECT("SINTÉTICO!$A$7:$A$" &amp; ÚLTIMALINSINTÉTICO), INDIRECT("SINTÉTICO!$I$7:$I$" &amp; ÚLTIMALINSINTÉTICO))</f>
        <v>#N/A</v>
      </c>
      <c r="D17" s="23" t="str">
        <f t="shared" si="6"/>
        <v/>
      </c>
      <c r="E17" s="24"/>
      <c r="F17" s="23" t="str">
        <f t="shared" si="0"/>
        <v/>
      </c>
      <c r="G17" s="24"/>
      <c r="H17" s="23" t="e">
        <f t="shared" ca="1" si="0"/>
        <v>#N/A</v>
      </c>
      <c r="I17" s="24">
        <v>0.2</v>
      </c>
      <c r="J17" s="23" t="e">
        <f t="shared" ref="J17" ca="1" si="57">IF(K17="","",$C17*K17)</f>
        <v>#N/A</v>
      </c>
      <c r="K17" s="24">
        <v>0.3</v>
      </c>
      <c r="L17" s="23" t="e">
        <f t="shared" ref="L17" ca="1" si="58">IF(M17="","",$C17*M17)</f>
        <v>#N/A</v>
      </c>
      <c r="M17" s="24">
        <v>0.3</v>
      </c>
      <c r="N17" s="23" t="e">
        <f t="shared" ref="N17" ca="1" si="59">IF(O17="","",$C17*O17)</f>
        <v>#N/A</v>
      </c>
      <c r="O17" s="24">
        <v>0.2</v>
      </c>
      <c r="P17" s="23" t="str">
        <f t="shared" ref="P17" si="60">IF(Q17="","",$C17*Q17)</f>
        <v/>
      </c>
      <c r="Q17" s="24"/>
      <c r="R17" s="23" t="str">
        <f t="shared" ref="R17" si="61">IF(S17="","",$C17*S17)</f>
        <v/>
      </c>
      <c r="S17" s="24"/>
      <c r="T17" s="22" cm="1">
        <f t="array" ref="T17">SUM(INDEX(D17:S17,_xlfn.SEQUENCE(1,$R$4,2,2)))</f>
        <v>1</v>
      </c>
    </row>
    <row r="18" spans="1:20" x14ac:dyDescent="0.3">
      <c r="A18" s="133" t="s">
        <v>208</v>
      </c>
      <c r="B18" s="20" t="e" cm="1">
        <f t="array" aca="1" ref="B18" ca="1">_xlfn.XLOOKUP($A18, INDIRECT("SINTÉTICO!$A$7:$A$" &amp; ÚLTIMALINSINTÉTICO), INDIRECT("SINTÉTICO!$D$7:$D$" &amp; ÚLTIMALINSINTÉTICO))</f>
        <v>#N/A</v>
      </c>
      <c r="C18" s="21" t="e" cm="1">
        <f t="array" aca="1" ref="C18" ca="1">_xlfn.XLOOKUP($A18, INDIRECT("SINTÉTICO!$A$7:$A$" &amp; ÚLTIMALINSINTÉTICO), INDIRECT("SINTÉTICO!$I$7:$I$" &amp; ÚLTIMALINSINTÉTICO))</f>
        <v>#N/A</v>
      </c>
      <c r="D18" s="23" t="e">
        <f t="shared" ca="1" si="6"/>
        <v>#N/A</v>
      </c>
      <c r="E18" s="24">
        <v>0.1</v>
      </c>
      <c r="F18" s="23" t="e">
        <f t="shared" ca="1" si="0"/>
        <v>#N/A</v>
      </c>
      <c r="G18" s="24">
        <v>0.2</v>
      </c>
      <c r="H18" s="23" t="e">
        <f t="shared" ca="1" si="0"/>
        <v>#N/A</v>
      </c>
      <c r="I18" s="24">
        <v>0.2</v>
      </c>
      <c r="J18" s="23" t="e">
        <f t="shared" ref="J18" ca="1" si="62">IF(K18="","",$C18*K18)</f>
        <v>#N/A</v>
      </c>
      <c r="K18" s="24">
        <v>0.2</v>
      </c>
      <c r="L18" s="23" t="e">
        <f t="shared" ref="L18" ca="1" si="63">IF(M18="","",$C18*M18)</f>
        <v>#N/A</v>
      </c>
      <c r="M18" s="24">
        <v>0.2</v>
      </c>
      <c r="N18" s="23" t="e">
        <f t="shared" ref="N18" ca="1" si="64">IF(O18="","",$C18*O18)</f>
        <v>#N/A</v>
      </c>
      <c r="O18" s="24">
        <v>0.1</v>
      </c>
      <c r="P18" s="23" t="str">
        <f t="shared" ref="P18" si="65">IF(Q18="","",$C18*Q18)</f>
        <v/>
      </c>
      <c r="Q18" s="24"/>
      <c r="R18" s="23" t="str">
        <f t="shared" ref="R18" si="66">IF(S18="","",$C18*S18)</f>
        <v/>
      </c>
      <c r="S18" s="24"/>
      <c r="T18" s="22" cm="1">
        <f t="array" ref="T18">SUM(INDEX(D18:S18,_xlfn.SEQUENCE(1,$R$4,2,2)))</f>
        <v>0.99999999999999989</v>
      </c>
    </row>
    <row r="19" spans="1:20" x14ac:dyDescent="0.3">
      <c r="A19" s="133" t="s">
        <v>209</v>
      </c>
      <c r="B19" s="20" t="e" cm="1">
        <f t="array" aca="1" ref="B19" ca="1">_xlfn.XLOOKUP($A19, INDIRECT("SINTÉTICO!$A$7:$A$" &amp; ÚLTIMALINSINTÉTICO), INDIRECT("SINTÉTICO!$D$7:$D$" &amp; ÚLTIMALINSINTÉTICO))</f>
        <v>#N/A</v>
      </c>
      <c r="C19" s="21" t="e" cm="1">
        <f t="array" aca="1" ref="C19" ca="1">_xlfn.XLOOKUP($A19, INDIRECT("SINTÉTICO!$A$7:$A$" &amp; ÚLTIMALINSINTÉTICO), INDIRECT("SINTÉTICO!$I$7:$I$" &amp; ÚLTIMALINSINTÉTICO))</f>
        <v>#N/A</v>
      </c>
      <c r="D19" s="23" t="str">
        <f t="shared" si="6"/>
        <v/>
      </c>
      <c r="E19" s="24"/>
      <c r="F19" s="23" t="str">
        <f t="shared" si="0"/>
        <v/>
      </c>
      <c r="G19" s="24"/>
      <c r="H19" s="23" t="str">
        <f t="shared" si="0"/>
        <v/>
      </c>
      <c r="I19" s="24"/>
      <c r="J19" s="23" t="str">
        <f t="shared" ref="J19" si="67">IF(K19="","",$C19*K19)</f>
        <v/>
      </c>
      <c r="K19" s="24"/>
      <c r="L19" s="23" t="str">
        <f t="shared" ref="L19" si="68">IF(M19="","",$C19*M19)</f>
        <v/>
      </c>
      <c r="M19" s="24"/>
      <c r="N19" s="23" t="str">
        <f t="shared" ref="N19" si="69">IF(O19="","",$C19*O19)</f>
        <v/>
      </c>
      <c r="O19" s="24"/>
      <c r="P19" s="23" t="e">
        <f t="shared" ref="P19" ca="1" si="70">IF(Q19="","",$C19*Q19)</f>
        <v>#N/A</v>
      </c>
      <c r="Q19" s="24">
        <v>1</v>
      </c>
      <c r="R19" s="23" t="str">
        <f t="shared" ref="R19" si="71">IF(S19="","",$C19*S19)</f>
        <v/>
      </c>
      <c r="S19" s="24"/>
      <c r="T19" s="22" cm="1">
        <f t="array" ref="T19">SUM(INDEX(D19:S19,_xlfn.SEQUENCE(1,$R$4,2,2)))</f>
        <v>1</v>
      </c>
    </row>
    <row r="20" spans="1:20" x14ac:dyDescent="0.3">
      <c r="A20" s="133" t="s">
        <v>210</v>
      </c>
      <c r="B20" s="20" t="e" cm="1">
        <f t="array" aca="1" ref="B20" ca="1">_xlfn.XLOOKUP($A20, INDIRECT("SINTÉTICO!$A$7:$A$" &amp; ÚLTIMALINSINTÉTICO), INDIRECT("SINTÉTICO!$D$7:$D$" &amp; ÚLTIMALINSINTÉTICO))</f>
        <v>#N/A</v>
      </c>
      <c r="C20" s="21" t="e" cm="1">
        <f t="array" aca="1" ref="C20" ca="1">_xlfn.XLOOKUP($A20, INDIRECT("SINTÉTICO!$A$7:$A$" &amp; ÚLTIMALINSINTÉTICO), INDIRECT("SINTÉTICO!$I$7:$I$" &amp; ÚLTIMALINSINTÉTICO))</f>
        <v>#N/A</v>
      </c>
      <c r="D20" s="23" t="str">
        <f t="shared" si="6"/>
        <v/>
      </c>
      <c r="E20" s="24"/>
      <c r="F20" s="23" t="str">
        <f t="shared" si="0"/>
        <v/>
      </c>
      <c r="G20" s="24"/>
      <c r="H20" s="23" t="str">
        <f t="shared" si="0"/>
        <v/>
      </c>
      <c r="I20" s="24"/>
      <c r="J20" s="23" t="str">
        <f t="shared" ref="J20" si="72">IF(K20="","",$C20*K20)</f>
        <v/>
      </c>
      <c r="K20" s="24"/>
      <c r="L20" s="23" t="str">
        <f t="shared" ref="L20" si="73">IF(M20="","",$C20*M20)</f>
        <v/>
      </c>
      <c r="M20" s="24"/>
      <c r="N20" s="23" t="e">
        <f t="shared" ref="N20" ca="1" si="74">IF(O20="","",$C20*O20)</f>
        <v>#N/A</v>
      </c>
      <c r="O20" s="24">
        <v>0.4</v>
      </c>
      <c r="P20" s="23" t="e">
        <f t="shared" ref="P20" ca="1" si="75">IF(Q20="","",$C20*Q20)</f>
        <v>#N/A</v>
      </c>
      <c r="Q20" s="24">
        <v>0.4</v>
      </c>
      <c r="R20" s="23" t="e">
        <f t="shared" ref="R20" ca="1" si="76">IF(S20="","",$C20*S20)</f>
        <v>#N/A</v>
      </c>
      <c r="S20" s="24">
        <v>0.2</v>
      </c>
      <c r="T20" s="22" cm="1">
        <f t="array" ref="T20">SUM(INDEX(D20:S20,_xlfn.SEQUENCE(1,$R$4,2,2)))</f>
        <v>1</v>
      </c>
    </row>
    <row r="21" spans="1:20" x14ac:dyDescent="0.3">
      <c r="A21" s="133" t="s">
        <v>211</v>
      </c>
      <c r="B21" s="20" t="e" cm="1">
        <f t="array" aca="1" ref="B21" ca="1">_xlfn.XLOOKUP($A21, INDIRECT("SINTÉTICO!$A$7:$A$" &amp; ÚLTIMALINSINTÉTICO), INDIRECT("SINTÉTICO!$D$7:$D$" &amp; ÚLTIMALINSINTÉTICO))</f>
        <v>#N/A</v>
      </c>
      <c r="C21" s="21" t="e" cm="1">
        <f t="array" aca="1" ref="C21" ca="1">_xlfn.XLOOKUP($A21, INDIRECT("SINTÉTICO!$A$7:$A$" &amp; ÚLTIMALINSINTÉTICO), INDIRECT("SINTÉTICO!$I$7:$I$" &amp; ÚLTIMALINSINTÉTICO))</f>
        <v>#N/A</v>
      </c>
      <c r="D21" s="23" t="str">
        <f t="shared" si="6"/>
        <v/>
      </c>
      <c r="E21" s="24"/>
      <c r="F21" s="23" t="str">
        <f t="shared" si="0"/>
        <v/>
      </c>
      <c r="G21" s="24"/>
      <c r="H21" s="23" t="str">
        <f t="shared" si="0"/>
        <v/>
      </c>
      <c r="I21" s="24"/>
      <c r="J21" s="23" t="str">
        <f t="shared" ref="J21" si="77">IF(K21="","",$C21*K21)</f>
        <v/>
      </c>
      <c r="K21" s="24"/>
      <c r="L21" s="23" t="str">
        <f t="shared" ref="L21" si="78">IF(M21="","",$C21*M21)</f>
        <v/>
      </c>
      <c r="M21" s="24"/>
      <c r="N21" s="23" t="str">
        <f t="shared" ref="N21" si="79">IF(O21="","",$C21*O21)</f>
        <v/>
      </c>
      <c r="O21" s="24"/>
      <c r="P21" s="23" t="e">
        <f t="shared" ref="P21" ca="1" si="80">IF(Q21="","",$C21*Q21)</f>
        <v>#N/A</v>
      </c>
      <c r="Q21" s="24">
        <v>0.3</v>
      </c>
      <c r="R21" s="23" t="e">
        <f t="shared" ref="R21" ca="1" si="81">IF(S21="","",$C21*S21)</f>
        <v>#N/A</v>
      </c>
      <c r="S21" s="24">
        <v>0.7</v>
      </c>
      <c r="T21" s="22" cm="1">
        <f t="array" ref="T21">SUM(INDEX(D21:S21,_xlfn.SEQUENCE(1,$R$4,2,2)))</f>
        <v>1</v>
      </c>
    </row>
    <row r="22" spans="1:20" x14ac:dyDescent="0.3">
      <c r="A22" s="133" t="s">
        <v>212</v>
      </c>
      <c r="B22" s="20" t="e" cm="1">
        <f t="array" aca="1" ref="B22" ca="1">_xlfn.XLOOKUP($A22, INDIRECT("SINTÉTICO!$A$7:$A$" &amp; ÚLTIMALINSINTÉTICO), INDIRECT("SINTÉTICO!$D$7:$D$" &amp; ÚLTIMALINSINTÉTICO))</f>
        <v>#N/A</v>
      </c>
      <c r="C22" s="21" t="e" cm="1">
        <f t="array" aca="1" ref="C22" ca="1">_xlfn.XLOOKUP($A22, INDIRECT("SINTÉTICO!$A$7:$A$" &amp; ÚLTIMALINSINTÉTICO), INDIRECT("SINTÉTICO!$I$7:$I$" &amp; ÚLTIMALINSINTÉTICO))</f>
        <v>#N/A</v>
      </c>
      <c r="D22" s="23" t="str">
        <f t="shared" si="6"/>
        <v/>
      </c>
      <c r="E22" s="24"/>
      <c r="F22" s="23" t="str">
        <f t="shared" si="0"/>
        <v/>
      </c>
      <c r="G22" s="24"/>
      <c r="H22" s="23" t="str">
        <f t="shared" si="0"/>
        <v/>
      </c>
      <c r="I22" s="24"/>
      <c r="J22" s="23" t="str">
        <f t="shared" ref="J22" si="82">IF(K22="","",$C22*K22)</f>
        <v/>
      </c>
      <c r="K22" s="24"/>
      <c r="L22" s="23" t="str">
        <f t="shared" ref="L22" si="83">IF(M22="","",$C22*M22)</f>
        <v/>
      </c>
      <c r="M22" s="24"/>
      <c r="N22" s="23" t="str">
        <f t="shared" ref="N22" si="84">IF(O22="","",$C22*O22)</f>
        <v/>
      </c>
      <c r="O22" s="24"/>
      <c r="P22" s="23" t="e">
        <f t="shared" ref="P22" ca="1" si="85">IF(Q22="","",$C22*Q22)</f>
        <v>#N/A</v>
      </c>
      <c r="Q22" s="24">
        <v>0.2</v>
      </c>
      <c r="R22" s="23" t="e">
        <f t="shared" ref="R22" ca="1" si="86">IF(S22="","",$C22*S22)</f>
        <v>#N/A</v>
      </c>
      <c r="S22" s="24">
        <v>0.8</v>
      </c>
      <c r="T22" s="22" cm="1">
        <f t="array" ref="T22">SUM(INDEX(D22:S22,_xlfn.SEQUENCE(1,$R$4,2,2)))</f>
        <v>1</v>
      </c>
    </row>
    <row r="23" spans="1:20" x14ac:dyDescent="0.25">
      <c r="A23" s="184" t="s">
        <v>117</v>
      </c>
      <c r="B23" s="184"/>
      <c r="C23" s="1"/>
      <c r="D23" s="183" t="e">
        <f ca="1">D24/$R$26</f>
        <v>#N/A</v>
      </c>
      <c r="E23" s="183"/>
      <c r="F23" s="183" t="e">
        <f t="shared" ref="F23" ca="1" si="87">F24/$R$26</f>
        <v>#N/A</v>
      </c>
      <c r="G23" s="183"/>
      <c r="H23" s="183" t="e">
        <f t="shared" ref="H23" ca="1" si="88">H24/$R$26</f>
        <v>#N/A</v>
      </c>
      <c r="I23" s="183"/>
      <c r="J23" s="183" t="e">
        <f t="shared" ref="J23:R23" ca="1" si="89">J24/$R$26</f>
        <v>#N/A</v>
      </c>
      <c r="K23" s="183"/>
      <c r="L23" s="183" t="e">
        <f t="shared" ca="1" si="89"/>
        <v>#N/A</v>
      </c>
      <c r="M23" s="183"/>
      <c r="N23" s="183" t="e">
        <f t="shared" ca="1" si="89"/>
        <v>#N/A</v>
      </c>
      <c r="O23" s="183"/>
      <c r="P23" s="183" t="e">
        <f t="shared" ca="1" si="89"/>
        <v>#N/A</v>
      </c>
      <c r="Q23" s="183"/>
      <c r="R23" s="183" t="e">
        <f t="shared" ca="1" si="89"/>
        <v>#N/A</v>
      </c>
      <c r="S23" s="183"/>
    </row>
    <row r="24" spans="1:20" x14ac:dyDescent="0.25">
      <c r="A24" s="184" t="s">
        <v>118</v>
      </c>
      <c r="B24" s="184"/>
      <c r="C24" s="1"/>
      <c r="D24" s="185" t="e">
        <f ca="1">SUM(D6:D22)</f>
        <v>#N/A</v>
      </c>
      <c r="E24" s="185"/>
      <c r="F24" s="185" t="e">
        <f ca="1">SUM(F6:F22)</f>
        <v>#N/A</v>
      </c>
      <c r="G24" s="185"/>
      <c r="H24" s="185" t="e">
        <f ca="1">SUM(H6:H22)</f>
        <v>#N/A</v>
      </c>
      <c r="I24" s="185"/>
      <c r="J24" s="185" t="e">
        <f ca="1">SUM(J6:J22)</f>
        <v>#N/A</v>
      </c>
      <c r="K24" s="185"/>
      <c r="L24" s="185" t="e">
        <f t="shared" ref="L24" ca="1" si="90">SUM(L6:L22)</f>
        <v>#N/A</v>
      </c>
      <c r="M24" s="185"/>
      <c r="N24" s="185" t="e">
        <f t="shared" ref="N24" ca="1" si="91">SUM(N6:N22)</f>
        <v>#N/A</v>
      </c>
      <c r="O24" s="185"/>
      <c r="P24" s="185" t="e">
        <f t="shared" ref="P24" ca="1" si="92">SUM(P6:P22)</f>
        <v>#N/A</v>
      </c>
      <c r="Q24" s="185"/>
      <c r="R24" s="185" t="e">
        <f t="shared" ref="R24" ca="1" si="93">SUM(R6:R22)</f>
        <v>#N/A</v>
      </c>
      <c r="S24" s="185"/>
    </row>
    <row r="25" spans="1:20" x14ac:dyDescent="0.25">
      <c r="A25" s="184" t="s">
        <v>119</v>
      </c>
      <c r="B25" s="184"/>
      <c r="C25" s="1"/>
      <c r="D25" s="187" t="e">
        <f ca="1">D23</f>
        <v>#N/A</v>
      </c>
      <c r="E25" s="187"/>
      <c r="F25" s="187" t="e">
        <f ca="1">D25+F23</f>
        <v>#N/A</v>
      </c>
      <c r="G25" s="187"/>
      <c r="H25" s="187" t="e">
        <f t="shared" ref="H25:H26" ca="1" si="94">F25+H23</f>
        <v>#N/A</v>
      </c>
      <c r="I25" s="187"/>
      <c r="J25" s="187" t="e">
        <f t="shared" ref="J25:J26" ca="1" si="95">H25+J23</f>
        <v>#N/A</v>
      </c>
      <c r="K25" s="187"/>
      <c r="L25" s="187" t="e">
        <f t="shared" ref="L25:L26" ca="1" si="96">J25+L23</f>
        <v>#N/A</v>
      </c>
      <c r="M25" s="187"/>
      <c r="N25" s="187" t="e">
        <f t="shared" ref="N25:N26" ca="1" si="97">L25+N23</f>
        <v>#N/A</v>
      </c>
      <c r="O25" s="187"/>
      <c r="P25" s="187" t="e">
        <f t="shared" ref="P25:P26" ca="1" si="98">N25+P23</f>
        <v>#N/A</v>
      </c>
      <c r="Q25" s="187"/>
      <c r="R25" s="187" t="e">
        <f t="shared" ref="R25:R26" ca="1" si="99">P25+R23</f>
        <v>#N/A</v>
      </c>
      <c r="S25" s="187"/>
    </row>
    <row r="26" spans="1:20" x14ac:dyDescent="0.25">
      <c r="A26" s="184" t="s">
        <v>120</v>
      </c>
      <c r="B26" s="184"/>
      <c r="C26" s="25"/>
      <c r="D26" s="185" t="e">
        <f ca="1">D24</f>
        <v>#N/A</v>
      </c>
      <c r="E26" s="186"/>
      <c r="F26" s="185" t="e">
        <f ca="1">D26+F24</f>
        <v>#N/A</v>
      </c>
      <c r="G26" s="186"/>
      <c r="H26" s="185" t="e">
        <f t="shared" ca="1" si="94"/>
        <v>#N/A</v>
      </c>
      <c r="I26" s="186"/>
      <c r="J26" s="185" t="e">
        <f t="shared" ca="1" si="95"/>
        <v>#N/A</v>
      </c>
      <c r="K26" s="186"/>
      <c r="L26" s="185" t="e">
        <f t="shared" ca="1" si="96"/>
        <v>#N/A</v>
      </c>
      <c r="M26" s="186"/>
      <c r="N26" s="185" t="e">
        <f t="shared" ca="1" si="97"/>
        <v>#N/A</v>
      </c>
      <c r="O26" s="186"/>
      <c r="P26" s="185" t="e">
        <f t="shared" ca="1" si="98"/>
        <v>#N/A</v>
      </c>
      <c r="Q26" s="186"/>
      <c r="R26" s="185" t="e">
        <f t="shared" ca="1" si="99"/>
        <v>#N/A</v>
      </c>
      <c r="S26" s="186"/>
      <c r="T26" s="26">
        <f ca="1">TOTALGERAL</f>
        <v>0</v>
      </c>
    </row>
    <row r="27" spans="1:20" x14ac:dyDescent="0.25">
      <c r="L27" s="18"/>
      <c r="N27" s="18"/>
      <c r="T27" s="18" t="e">
        <f ca="1">R26=T26</f>
        <v>#N/A</v>
      </c>
    </row>
    <row r="28" spans="1:20" x14ac:dyDescent="0.25">
      <c r="A28" s="5" t="str">
        <f>LOCALEDATA</f>
        <v>Morro do Chapéu/BA, 15 de agosto de 2025.</v>
      </c>
    </row>
  </sheetData>
  <mergeCells count="56">
    <mergeCell ref="L26:M26"/>
    <mergeCell ref="N26:O26"/>
    <mergeCell ref="L4:M4"/>
    <mergeCell ref="N4:O4"/>
    <mergeCell ref="L5:M5"/>
    <mergeCell ref="N5:O5"/>
    <mergeCell ref="L23:M23"/>
    <mergeCell ref="N23:O23"/>
    <mergeCell ref="P26:Q26"/>
    <mergeCell ref="R26:S26"/>
    <mergeCell ref="A25:B25"/>
    <mergeCell ref="D25:E25"/>
    <mergeCell ref="F25:G25"/>
    <mergeCell ref="H25:I25"/>
    <mergeCell ref="J25:K25"/>
    <mergeCell ref="A26:B26"/>
    <mergeCell ref="D26:E26"/>
    <mergeCell ref="F26:G26"/>
    <mergeCell ref="H26:I26"/>
    <mergeCell ref="J26:K26"/>
    <mergeCell ref="P25:Q25"/>
    <mergeCell ref="R25:S25"/>
    <mergeCell ref="L25:M25"/>
    <mergeCell ref="N25:O25"/>
    <mergeCell ref="R24:S24"/>
    <mergeCell ref="A24:B24"/>
    <mergeCell ref="D24:E24"/>
    <mergeCell ref="F24:G24"/>
    <mergeCell ref="H24:I24"/>
    <mergeCell ref="J24:K24"/>
    <mergeCell ref="P24:Q24"/>
    <mergeCell ref="L24:M24"/>
    <mergeCell ref="N24:O24"/>
    <mergeCell ref="P23:Q23"/>
    <mergeCell ref="R23:S23"/>
    <mergeCell ref="A23:B23"/>
    <mergeCell ref="D23:E23"/>
    <mergeCell ref="F23:G23"/>
    <mergeCell ref="H23:I23"/>
    <mergeCell ref="J23:K23"/>
    <mergeCell ref="A3:S3"/>
    <mergeCell ref="D5:E5"/>
    <mergeCell ref="F5:G5"/>
    <mergeCell ref="H5:I5"/>
    <mergeCell ref="J5:K5"/>
    <mergeCell ref="P5:Q5"/>
    <mergeCell ref="R5:S5"/>
    <mergeCell ref="H4:I4"/>
    <mergeCell ref="J4:K4"/>
    <mergeCell ref="P4:Q4"/>
    <mergeCell ref="R4:S4"/>
    <mergeCell ref="A4:A5"/>
    <mergeCell ref="B4:B5"/>
    <mergeCell ref="C4:C5"/>
    <mergeCell ref="D4:E4"/>
    <mergeCell ref="F4:G4"/>
  </mergeCells>
  <phoneticPr fontId="3" type="noConversion"/>
  <conditionalFormatting sqref="A28">
    <cfRule type="duplicateValues" dxfId="22" priority="2"/>
  </conditionalFormatting>
  <conditionalFormatting sqref="D6:S22">
    <cfRule type="expression" dxfId="21" priority="1">
      <formula>D6&lt;&gt;""</formula>
    </cfRule>
  </conditionalFormatting>
  <printOptions horizontalCentered="1"/>
  <pageMargins left="0.78740157480314965" right="0.78740157480314965" top="1.1811023622047245" bottom="0.78740157480314965" header="0.19685039370078741" footer="0.19685039370078741"/>
  <pageSetup paperSize="9" scale="72" orientation="landscape" r:id="rId1"/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54E1D-8AE3-4FF1-8325-48674A0B2CE4}">
  <sheetPr codeName="Planilha3">
    <tabColor rgb="FFFF0000"/>
    <pageSetUpPr fitToPage="1"/>
  </sheetPr>
  <dimension ref="A1:L36"/>
  <sheetViews>
    <sheetView showGridLines="0" view="pageBreakPreview" zoomScale="85" zoomScaleNormal="100" zoomScaleSheetLayoutView="85" workbookViewId="0">
      <selection activeCell="D5" sqref="D5"/>
    </sheetView>
  </sheetViews>
  <sheetFormatPr defaultColWidth="8.69921875" defaultRowHeight="13.8" x14ac:dyDescent="0.25"/>
  <cols>
    <col min="1" max="1" width="8.3984375" style="18" customWidth="1"/>
    <col min="2" max="2" width="26.19921875" style="18" bestFit="1" customWidth="1"/>
    <col min="3" max="3" width="15.3984375" style="18" bestFit="1" customWidth="1"/>
    <col min="4" max="6" width="10.3984375" style="18" bestFit="1" customWidth="1"/>
    <col min="7" max="11" width="11.3984375" style="18" bestFit="1" customWidth="1"/>
    <col min="12" max="12" width="11.19921875" style="18" bestFit="1" customWidth="1"/>
    <col min="13" max="16384" width="8.69921875" style="18"/>
  </cols>
  <sheetData>
    <row r="1" spans="1:12" x14ac:dyDescent="0.25">
      <c r="A1" s="72"/>
      <c r="B1" s="27"/>
      <c r="C1" s="27"/>
      <c r="D1" s="27"/>
      <c r="E1" s="27"/>
      <c r="F1" s="27"/>
      <c r="G1" s="27"/>
    </row>
    <row r="2" spans="1:12" x14ac:dyDescent="0.25">
      <c r="A2" s="75" t="s">
        <v>16</v>
      </c>
      <c r="B2" s="75"/>
      <c r="C2" s="75"/>
      <c r="D2" s="75"/>
      <c r="E2" s="75"/>
      <c r="F2" s="75"/>
      <c r="G2" s="75"/>
      <c r="H2" s="75"/>
      <c r="I2" s="75"/>
      <c r="J2" s="75"/>
      <c r="K2" s="75"/>
    </row>
    <row r="3" spans="1:12" x14ac:dyDescent="0.25">
      <c r="A3" s="75"/>
      <c r="B3" s="75"/>
      <c r="C3" s="75"/>
      <c r="D3" s="75">
        <v>1</v>
      </c>
      <c r="E3" s="75">
        <v>2</v>
      </c>
      <c r="F3" s="75">
        <v>3</v>
      </c>
      <c r="G3" s="75">
        <v>4</v>
      </c>
      <c r="H3" s="75">
        <v>5</v>
      </c>
      <c r="I3" s="75">
        <v>6</v>
      </c>
      <c r="J3" s="75">
        <v>7</v>
      </c>
      <c r="K3" s="75">
        <v>8</v>
      </c>
    </row>
    <row r="4" spans="1:12" ht="13.2" customHeight="1" x14ac:dyDescent="0.25">
      <c r="A4" s="76" t="s">
        <v>0</v>
      </c>
      <c r="B4" s="76" t="s">
        <v>3</v>
      </c>
      <c r="C4" s="76" t="s">
        <v>110</v>
      </c>
      <c r="D4" s="76" t="s">
        <v>111</v>
      </c>
      <c r="E4" s="77" t="s">
        <v>112</v>
      </c>
      <c r="F4" s="77" t="s">
        <v>113</v>
      </c>
      <c r="G4" s="77" t="s">
        <v>114</v>
      </c>
      <c r="H4" s="77" t="s">
        <v>115</v>
      </c>
      <c r="I4" s="77" t="s">
        <v>116</v>
      </c>
      <c r="J4" s="77" t="s">
        <v>165</v>
      </c>
      <c r="K4" s="77" t="s">
        <v>166</v>
      </c>
    </row>
    <row r="5" spans="1:12" x14ac:dyDescent="0.25">
      <c r="A5" s="133" t="s">
        <v>196</v>
      </c>
      <c r="B5" s="20" t="e" cm="1">
        <f t="array" aca="1" ref="B5" ca="1">_xlfn.XLOOKUP($A5, INDIRECT("SINTÉTICO!$A$10:$A$" &amp; ÚLTIMALINSINTÉTICO), INDIRECT("SINTÉTICO!$D$10:$D$" &amp; ÚLTIMALINSINTÉTICO))</f>
        <v>#N/A</v>
      </c>
      <c r="C5" s="78">
        <f>SUM(D5:K5)</f>
        <v>1</v>
      </c>
      <c r="D5" s="172">
        <v>0.125</v>
      </c>
      <c r="E5" s="172">
        <v>0.125</v>
      </c>
      <c r="F5" s="172">
        <v>0.125</v>
      </c>
      <c r="G5" s="172">
        <v>0.125</v>
      </c>
      <c r="H5" s="172">
        <v>0.125</v>
      </c>
      <c r="I5" s="172">
        <v>0.125</v>
      </c>
      <c r="J5" s="172">
        <v>0.125</v>
      </c>
      <c r="K5" s="172">
        <v>0.125</v>
      </c>
    </row>
    <row r="6" spans="1:12" x14ac:dyDescent="0.25">
      <c r="A6" s="79"/>
      <c r="B6" s="80"/>
      <c r="C6" s="35" t="e" cm="1">
        <f t="array" aca="1" ref="C6" ca="1">_xlfn.XLOOKUP($A5, INDIRECT("SINTÉTICO!$A$10:$A$" &amp; ÚLTIMALINSINTÉTICO), INDIRECT("SINTÉTICO!$I$10:$I$" &amp; ÚLTIMALINSINTÉTICO))</f>
        <v>#N/A</v>
      </c>
      <c r="D6" s="83" t="e">
        <f ca="1">IF(D5="","",$C6*D5)</f>
        <v>#N/A</v>
      </c>
      <c r="E6" s="83" t="e">
        <f t="shared" ref="E6:K6" ca="1" si="0">IF(E5="","",$C6*E5)</f>
        <v>#N/A</v>
      </c>
      <c r="F6" s="83" t="e">
        <f t="shared" ca="1" si="0"/>
        <v>#N/A</v>
      </c>
      <c r="G6" s="83" t="e">
        <f t="shared" ca="1" si="0"/>
        <v>#N/A</v>
      </c>
      <c r="H6" s="83" t="e">
        <f t="shared" ca="1" si="0"/>
        <v>#N/A</v>
      </c>
      <c r="I6" s="83" t="e">
        <f t="shared" ca="1" si="0"/>
        <v>#N/A</v>
      </c>
      <c r="J6" s="83" t="e">
        <f t="shared" ca="1" si="0"/>
        <v>#N/A</v>
      </c>
      <c r="K6" s="83" t="e">
        <f t="shared" ca="1" si="0"/>
        <v>#N/A</v>
      </c>
      <c r="L6" s="81"/>
    </row>
    <row r="7" spans="1:12" x14ac:dyDescent="0.25">
      <c r="A7" s="133" t="s">
        <v>197</v>
      </c>
      <c r="B7" s="20" t="e" cm="1">
        <f t="array" aca="1" ref="B7" ca="1">_xlfn.XLOOKUP($A7, INDIRECT("SINTÉTICO!$A$10:$A$" &amp; ÚLTIMALINSINTÉTICO), INDIRECT("SINTÉTICO!$D$10:$D$" &amp; ÚLTIMALINSINTÉTICO))</f>
        <v>#N/A</v>
      </c>
      <c r="C7" s="78">
        <f t="shared" ref="C7" si="1">SUM(D7:K7)</f>
        <v>1</v>
      </c>
      <c r="D7" s="172">
        <v>1</v>
      </c>
      <c r="E7" s="82"/>
      <c r="F7" s="82"/>
      <c r="G7" s="82"/>
      <c r="H7" s="82"/>
      <c r="I7" s="82"/>
      <c r="J7" s="82"/>
      <c r="K7" s="82"/>
      <c r="L7" s="81"/>
    </row>
    <row r="8" spans="1:12" x14ac:dyDescent="0.25">
      <c r="A8" s="79"/>
      <c r="B8" s="80"/>
      <c r="C8" s="35" t="e" cm="1">
        <f t="array" aca="1" ref="C8" ca="1">_xlfn.XLOOKUP($A7, INDIRECT("SINTÉTICO!$A$10:$A$" &amp; ÚLTIMALINSINTÉTICO), INDIRECT("SINTÉTICO!$I$10:$I$" &amp; ÚLTIMALINSINTÉTICO))</f>
        <v>#N/A</v>
      </c>
      <c r="D8" s="83" t="e">
        <f t="shared" ref="D8:K8" ca="1" si="2">IF(D7="","",$C8*D7)</f>
        <v>#N/A</v>
      </c>
      <c r="E8" s="82" t="str">
        <f t="shared" si="2"/>
        <v/>
      </c>
      <c r="F8" s="82" t="str">
        <f t="shared" si="2"/>
        <v/>
      </c>
      <c r="G8" s="82" t="str">
        <f t="shared" si="2"/>
        <v/>
      </c>
      <c r="H8" s="82" t="str">
        <f t="shared" si="2"/>
        <v/>
      </c>
      <c r="I8" s="82" t="str">
        <f t="shared" si="2"/>
        <v/>
      </c>
      <c r="J8" s="82" t="str">
        <f t="shared" si="2"/>
        <v/>
      </c>
      <c r="K8" s="82" t="str">
        <f t="shared" si="2"/>
        <v/>
      </c>
      <c r="L8" s="81"/>
    </row>
    <row r="9" spans="1:12" x14ac:dyDescent="0.25">
      <c r="A9" s="133" t="s">
        <v>198</v>
      </c>
      <c r="B9" s="20" t="e" cm="1">
        <f t="array" aca="1" ref="B9" ca="1">_xlfn.XLOOKUP($A9, INDIRECT("SINTÉTICO!$A$10:$A$" &amp; ÚLTIMALINSINTÉTICO), INDIRECT("SINTÉTICO!$D$10:$D$" &amp; ÚLTIMALINSINTÉTICO))</f>
        <v>#N/A</v>
      </c>
      <c r="C9" s="78">
        <f t="shared" ref="C9" si="3">SUM(D9:K9)</f>
        <v>0.99999999999999989</v>
      </c>
      <c r="D9" s="172">
        <v>0.3</v>
      </c>
      <c r="E9" s="172">
        <v>0.3</v>
      </c>
      <c r="F9" s="172">
        <v>0.3</v>
      </c>
      <c r="G9" s="172">
        <v>0.1</v>
      </c>
      <c r="H9" s="82"/>
      <c r="I9" s="82"/>
      <c r="J9" s="82"/>
      <c r="K9" s="82"/>
      <c r="L9" s="81"/>
    </row>
    <row r="10" spans="1:12" x14ac:dyDescent="0.25">
      <c r="A10" s="79"/>
      <c r="B10" s="80"/>
      <c r="C10" s="35" t="e" cm="1">
        <f t="array" aca="1" ref="C10" ca="1">_xlfn.XLOOKUP($A9, INDIRECT("SINTÉTICO!$A$10:$A$" &amp; ÚLTIMALINSINTÉTICO), INDIRECT("SINTÉTICO!$I$10:$I$" &amp; ÚLTIMALINSINTÉTICO))</f>
        <v>#N/A</v>
      </c>
      <c r="D10" s="83" t="e">
        <f t="shared" ref="D10:K10" ca="1" si="4">IF(D9="","",$C10*D9)</f>
        <v>#N/A</v>
      </c>
      <c r="E10" s="83" t="e">
        <f t="shared" ca="1" si="4"/>
        <v>#N/A</v>
      </c>
      <c r="F10" s="83" t="e">
        <f t="shared" ca="1" si="4"/>
        <v>#N/A</v>
      </c>
      <c r="G10" s="83" t="e">
        <f t="shared" ca="1" si="4"/>
        <v>#N/A</v>
      </c>
      <c r="H10" s="82" t="str">
        <f t="shared" si="4"/>
        <v/>
      </c>
      <c r="I10" s="82" t="str">
        <f t="shared" si="4"/>
        <v/>
      </c>
      <c r="J10" s="82" t="str">
        <f t="shared" si="4"/>
        <v/>
      </c>
      <c r="K10" s="82" t="str">
        <f t="shared" si="4"/>
        <v/>
      </c>
      <c r="L10" s="81"/>
    </row>
    <row r="11" spans="1:12" x14ac:dyDescent="0.25">
      <c r="A11" s="133" t="s">
        <v>199</v>
      </c>
      <c r="B11" s="20" t="e" cm="1">
        <f t="array" aca="1" ref="B11" ca="1">_xlfn.XLOOKUP($A11, INDIRECT("SINTÉTICO!$A$10:$A$" &amp; ÚLTIMALINSINTÉTICO), INDIRECT("SINTÉTICO!$D$10:$D$" &amp; ÚLTIMALINSINTÉTICO))</f>
        <v>#N/A</v>
      </c>
      <c r="C11" s="78">
        <f t="shared" ref="C11" si="5">SUM(D11:K11)</f>
        <v>1</v>
      </c>
      <c r="D11" s="172">
        <v>0.2</v>
      </c>
      <c r="E11" s="172">
        <v>0.4</v>
      </c>
      <c r="F11" s="172">
        <v>0.2</v>
      </c>
      <c r="G11" s="172">
        <v>0.2</v>
      </c>
      <c r="H11" s="82"/>
      <c r="I11" s="82"/>
      <c r="J11" s="82"/>
      <c r="K11" s="82"/>
      <c r="L11" s="81"/>
    </row>
    <row r="12" spans="1:12" x14ac:dyDescent="0.25">
      <c r="A12" s="79"/>
      <c r="B12" s="80"/>
      <c r="C12" s="35" t="e" cm="1">
        <f t="array" aca="1" ref="C12" ca="1">_xlfn.XLOOKUP($A11, INDIRECT("SINTÉTICO!$A$10:$A$" &amp; ÚLTIMALINSINTÉTICO), INDIRECT("SINTÉTICO!$I$10:$I$" &amp; ÚLTIMALINSINTÉTICO))</f>
        <v>#N/A</v>
      </c>
      <c r="D12" s="83" t="e">
        <f t="shared" ref="D12:K12" ca="1" si="6">IF(D11="","",$C12*D11)</f>
        <v>#N/A</v>
      </c>
      <c r="E12" s="83" t="e">
        <f t="shared" ca="1" si="6"/>
        <v>#N/A</v>
      </c>
      <c r="F12" s="83" t="e">
        <f t="shared" ca="1" si="6"/>
        <v>#N/A</v>
      </c>
      <c r="G12" s="83" t="e">
        <f t="shared" ca="1" si="6"/>
        <v>#N/A</v>
      </c>
      <c r="H12" s="82" t="str">
        <f t="shared" si="6"/>
        <v/>
      </c>
      <c r="I12" s="82" t="str">
        <f t="shared" si="6"/>
        <v/>
      </c>
      <c r="J12" s="82" t="str">
        <f t="shared" si="6"/>
        <v/>
      </c>
      <c r="K12" s="82" t="str">
        <f t="shared" si="6"/>
        <v/>
      </c>
      <c r="L12" s="81"/>
    </row>
    <row r="13" spans="1:12" x14ac:dyDescent="0.25">
      <c r="A13" s="133" t="s">
        <v>200</v>
      </c>
      <c r="B13" s="20" t="e" cm="1">
        <f t="array" aca="1" ref="B13" ca="1">_xlfn.XLOOKUP($A13, INDIRECT("SINTÉTICO!$A$10:$A$" &amp; ÚLTIMALINSINTÉTICO), INDIRECT("SINTÉTICO!$D$10:$D$" &amp; ÚLTIMALINSINTÉTICO))</f>
        <v>#N/A</v>
      </c>
      <c r="C13" s="78">
        <f t="shared" ref="C13" si="7">SUM(D13:K13)</f>
        <v>1</v>
      </c>
      <c r="D13" s="172">
        <v>0.2</v>
      </c>
      <c r="E13" s="172">
        <v>0.2</v>
      </c>
      <c r="F13" s="172">
        <v>0.2</v>
      </c>
      <c r="G13" s="172">
        <v>0.2</v>
      </c>
      <c r="H13" s="172">
        <v>0.2</v>
      </c>
      <c r="I13" s="82"/>
      <c r="J13" s="82"/>
      <c r="K13" s="82"/>
      <c r="L13" s="81"/>
    </row>
    <row r="14" spans="1:12" x14ac:dyDescent="0.25">
      <c r="A14" s="79"/>
      <c r="B14" s="80"/>
      <c r="C14" s="35" t="e" cm="1">
        <f t="array" aca="1" ref="C14" ca="1">_xlfn.XLOOKUP($A13, INDIRECT("SINTÉTICO!$A$10:$A$" &amp; ÚLTIMALINSINTÉTICO), INDIRECT("SINTÉTICO!$I$10:$I$" &amp; ÚLTIMALINSINTÉTICO))</f>
        <v>#N/A</v>
      </c>
      <c r="D14" s="83" t="e">
        <f t="shared" ref="D14:K14" ca="1" si="8">IF(D13="","",$C14*D13)</f>
        <v>#N/A</v>
      </c>
      <c r="E14" s="83" t="e">
        <f t="shared" ca="1" si="8"/>
        <v>#N/A</v>
      </c>
      <c r="F14" s="83" t="e">
        <f t="shared" ca="1" si="8"/>
        <v>#N/A</v>
      </c>
      <c r="G14" s="83" t="e">
        <f t="shared" ca="1" si="8"/>
        <v>#N/A</v>
      </c>
      <c r="H14" s="83" t="e">
        <f t="shared" ca="1" si="8"/>
        <v>#N/A</v>
      </c>
      <c r="I14" s="82" t="str">
        <f t="shared" si="8"/>
        <v/>
      </c>
      <c r="J14" s="82" t="str">
        <f t="shared" si="8"/>
        <v/>
      </c>
      <c r="K14" s="82" t="str">
        <f t="shared" si="8"/>
        <v/>
      </c>
      <c r="L14" s="81"/>
    </row>
    <row r="15" spans="1:12" x14ac:dyDescent="0.25">
      <c r="A15" s="133" t="s">
        <v>201</v>
      </c>
      <c r="B15" s="20" t="e" cm="1">
        <f t="array" aca="1" ref="B15" ca="1">_xlfn.XLOOKUP($A15, INDIRECT("SINTÉTICO!$A$10:$A$" &amp; ÚLTIMALINSINTÉTICO), INDIRECT("SINTÉTICO!$D$10:$D$" &amp; ÚLTIMALINSINTÉTICO))</f>
        <v>#N/A</v>
      </c>
      <c r="C15" s="78">
        <f t="shared" ref="C15" si="9">SUM(D15:K15)</f>
        <v>1</v>
      </c>
      <c r="D15" s="82"/>
      <c r="E15" s="82"/>
      <c r="F15" s="172">
        <v>0.2</v>
      </c>
      <c r="G15" s="172">
        <v>0.2</v>
      </c>
      <c r="H15" s="172">
        <v>0.2</v>
      </c>
      <c r="I15" s="172">
        <v>0.2</v>
      </c>
      <c r="J15" s="172">
        <v>0.2</v>
      </c>
      <c r="K15" s="82"/>
      <c r="L15" s="81"/>
    </row>
    <row r="16" spans="1:12" x14ac:dyDescent="0.25">
      <c r="A16" s="79"/>
      <c r="B16" s="80"/>
      <c r="C16" s="35" t="e" cm="1">
        <f t="array" aca="1" ref="C16" ca="1">_xlfn.XLOOKUP($A15, INDIRECT("SINTÉTICO!$A$10:$A$" &amp; ÚLTIMALINSINTÉTICO), INDIRECT("SINTÉTICO!$I$10:$I$" &amp; ÚLTIMALINSINTÉTICO))</f>
        <v>#N/A</v>
      </c>
      <c r="D16" s="82" t="str">
        <f t="shared" ref="D16:K16" si="10">IF(D15="","",$C16*D15)</f>
        <v/>
      </c>
      <c r="E16" s="82" t="str">
        <f t="shared" si="10"/>
        <v/>
      </c>
      <c r="F16" s="83" t="e">
        <f t="shared" ca="1" si="10"/>
        <v>#N/A</v>
      </c>
      <c r="G16" s="83" t="e">
        <f t="shared" ca="1" si="10"/>
        <v>#N/A</v>
      </c>
      <c r="H16" s="83" t="e">
        <f t="shared" ca="1" si="10"/>
        <v>#N/A</v>
      </c>
      <c r="I16" s="83" t="e">
        <f t="shared" ca="1" si="10"/>
        <v>#N/A</v>
      </c>
      <c r="J16" s="83" t="e">
        <f t="shared" ca="1" si="10"/>
        <v>#N/A</v>
      </c>
      <c r="K16" s="82" t="str">
        <f t="shared" si="10"/>
        <v/>
      </c>
      <c r="L16" s="81"/>
    </row>
    <row r="17" spans="1:12" x14ac:dyDescent="0.25">
      <c r="A17" s="133" t="s">
        <v>202</v>
      </c>
      <c r="B17" s="20" t="e" cm="1">
        <f t="array" aca="1" ref="B17" ca="1">_xlfn.XLOOKUP($A17, INDIRECT("SINTÉTICO!$A$10:$A$" &amp; ÚLTIMALINSINTÉTICO), INDIRECT("SINTÉTICO!$D$10:$D$" &amp; ÚLTIMALINSINTÉTICO))</f>
        <v>#N/A</v>
      </c>
      <c r="C17" s="78">
        <f t="shared" ref="C17" si="11">SUM(D17:K17)</f>
        <v>1</v>
      </c>
      <c r="D17" s="82"/>
      <c r="E17" s="82"/>
      <c r="F17" s="82"/>
      <c r="G17" s="82"/>
      <c r="H17" s="82"/>
      <c r="I17" s="172">
        <v>0.5</v>
      </c>
      <c r="J17" s="172">
        <v>0.5</v>
      </c>
      <c r="K17" s="82"/>
      <c r="L17" s="81"/>
    </row>
    <row r="18" spans="1:12" x14ac:dyDescent="0.25">
      <c r="A18" s="79"/>
      <c r="B18" s="80"/>
      <c r="C18" s="35" t="e" cm="1">
        <f t="array" aca="1" ref="C18" ca="1">_xlfn.XLOOKUP($A17, INDIRECT("SINTÉTICO!$A$10:$A$" &amp; ÚLTIMALINSINTÉTICO), INDIRECT("SINTÉTICO!$I$10:$I$" &amp; ÚLTIMALINSINTÉTICO))</f>
        <v>#N/A</v>
      </c>
      <c r="D18" s="82" t="str">
        <f t="shared" ref="D18:K18" si="12">IF(D17="","",$C18*D17)</f>
        <v/>
      </c>
      <c r="E18" s="82" t="str">
        <f t="shared" si="12"/>
        <v/>
      </c>
      <c r="F18" s="82" t="str">
        <f t="shared" si="12"/>
        <v/>
      </c>
      <c r="G18" s="82" t="str">
        <f t="shared" si="12"/>
        <v/>
      </c>
      <c r="H18" s="82" t="str">
        <f t="shared" si="12"/>
        <v/>
      </c>
      <c r="I18" s="83" t="e">
        <f t="shared" ca="1" si="12"/>
        <v>#N/A</v>
      </c>
      <c r="J18" s="83" t="e">
        <f t="shared" ca="1" si="12"/>
        <v>#N/A</v>
      </c>
      <c r="K18" s="82" t="str">
        <f t="shared" si="12"/>
        <v/>
      </c>
      <c r="L18" s="81"/>
    </row>
    <row r="19" spans="1:12" x14ac:dyDescent="0.25">
      <c r="A19" s="133" t="s">
        <v>203</v>
      </c>
      <c r="B19" s="20" t="e" cm="1">
        <f t="array" aca="1" ref="B19" ca="1">_xlfn.XLOOKUP($A19, INDIRECT("SINTÉTICO!$A$10:$A$" &amp; ÚLTIMALINSINTÉTICO), INDIRECT("SINTÉTICO!$D$10:$D$" &amp; ÚLTIMALINSINTÉTICO))</f>
        <v>#N/A</v>
      </c>
      <c r="C19" s="78">
        <f t="shared" ref="C19" si="13">SUM(D19:K19)</f>
        <v>0.99999999999999989</v>
      </c>
      <c r="D19" s="82"/>
      <c r="E19" s="82"/>
      <c r="F19" s="172">
        <v>0.3</v>
      </c>
      <c r="G19" s="172">
        <v>0.3</v>
      </c>
      <c r="H19" s="172">
        <v>0.3</v>
      </c>
      <c r="I19" s="172">
        <v>0.1</v>
      </c>
      <c r="J19" s="82"/>
      <c r="K19" s="82"/>
      <c r="L19" s="81"/>
    </row>
    <row r="20" spans="1:12" x14ac:dyDescent="0.25">
      <c r="A20" s="79"/>
      <c r="B20" s="80"/>
      <c r="C20" s="35" t="e" cm="1">
        <f t="array" aca="1" ref="C20" ca="1">_xlfn.XLOOKUP($A19, INDIRECT("SINTÉTICO!$A$10:$A$" &amp; ÚLTIMALINSINTÉTICO), INDIRECT("SINTÉTICO!$I$10:$I$" &amp; ÚLTIMALINSINTÉTICO))</f>
        <v>#N/A</v>
      </c>
      <c r="D20" s="82" t="str">
        <f t="shared" ref="D20:K20" si="14">IF(D19="","",$C20*D19)</f>
        <v/>
      </c>
      <c r="E20" s="82" t="str">
        <f t="shared" si="14"/>
        <v/>
      </c>
      <c r="F20" s="83" t="e">
        <f t="shared" ca="1" si="14"/>
        <v>#N/A</v>
      </c>
      <c r="G20" s="83" t="e">
        <f t="shared" ca="1" si="14"/>
        <v>#N/A</v>
      </c>
      <c r="H20" s="83" t="e">
        <f t="shared" ca="1" si="14"/>
        <v>#N/A</v>
      </c>
      <c r="I20" s="83" t="e">
        <f t="shared" ca="1" si="14"/>
        <v>#N/A</v>
      </c>
      <c r="J20" s="82" t="str">
        <f t="shared" si="14"/>
        <v/>
      </c>
      <c r="K20" s="82" t="str">
        <f t="shared" si="14"/>
        <v/>
      </c>
      <c r="L20" s="81"/>
    </row>
    <row r="21" spans="1:12" x14ac:dyDescent="0.25">
      <c r="A21" s="133" t="s">
        <v>204</v>
      </c>
      <c r="B21" s="20" t="e" cm="1">
        <f t="array" aca="1" ref="B21" ca="1">_xlfn.XLOOKUP($A21, INDIRECT("SINTÉTICO!$A$10:$A$" &amp; ÚLTIMALINSINTÉTICO), INDIRECT("SINTÉTICO!$D$10:$D$" &amp; ÚLTIMALINSINTÉTICO))</f>
        <v>#N/A</v>
      </c>
      <c r="C21" s="78">
        <f t="shared" ref="C21" si="15">SUM(D21:K21)</f>
        <v>1</v>
      </c>
      <c r="D21" s="172">
        <v>0.4</v>
      </c>
      <c r="E21" s="172">
        <v>0.2</v>
      </c>
      <c r="F21" s="172">
        <v>0.2</v>
      </c>
      <c r="G21" s="172">
        <v>0.2</v>
      </c>
      <c r="H21" s="82"/>
      <c r="I21" s="82"/>
      <c r="J21" s="82"/>
      <c r="K21" s="82"/>
      <c r="L21" s="81"/>
    </row>
    <row r="22" spans="1:12" x14ac:dyDescent="0.25">
      <c r="A22" s="79"/>
      <c r="B22" s="80"/>
      <c r="C22" s="35" t="e" cm="1">
        <f t="array" aca="1" ref="C22" ca="1">_xlfn.XLOOKUP($A21, INDIRECT("SINTÉTICO!$A$10:$A$" &amp; ÚLTIMALINSINTÉTICO), INDIRECT("SINTÉTICO!$I$10:$I$" &amp; ÚLTIMALINSINTÉTICO))</f>
        <v>#N/A</v>
      </c>
      <c r="D22" s="83" t="e">
        <f t="shared" ref="D22:K22" ca="1" si="16">IF(D21="","",$C22*D21)</f>
        <v>#N/A</v>
      </c>
      <c r="E22" s="83" t="e">
        <f t="shared" ca="1" si="16"/>
        <v>#N/A</v>
      </c>
      <c r="F22" s="83" t="e">
        <f t="shared" ca="1" si="16"/>
        <v>#N/A</v>
      </c>
      <c r="G22" s="83" t="e">
        <f t="shared" ca="1" si="16"/>
        <v>#N/A</v>
      </c>
      <c r="H22" s="82" t="str">
        <f t="shared" si="16"/>
        <v/>
      </c>
      <c r="I22" s="82" t="str">
        <f t="shared" si="16"/>
        <v/>
      </c>
      <c r="J22" s="82" t="str">
        <f t="shared" si="16"/>
        <v/>
      </c>
      <c r="K22" s="82" t="str">
        <f t="shared" si="16"/>
        <v/>
      </c>
      <c r="L22" s="81"/>
    </row>
    <row r="23" spans="1:12" ht="13.5" customHeight="1" x14ac:dyDescent="0.25">
      <c r="A23" s="133" t="s">
        <v>205</v>
      </c>
      <c r="B23" s="20" t="e" cm="1">
        <f t="array" aca="1" ref="B23" ca="1">_xlfn.XLOOKUP($A23, INDIRECT("SINTÉTICO!$A$10:$A$" &amp; ÚLTIMALINSINTÉTICO), INDIRECT("SINTÉTICO!$D$10:$D$" &amp; ÚLTIMALINSINTÉTICO))</f>
        <v>#N/A</v>
      </c>
      <c r="C23" s="78">
        <f t="shared" ref="C23" si="17">SUM(D23:K23)</f>
        <v>1</v>
      </c>
      <c r="D23" s="82"/>
      <c r="E23" s="82"/>
      <c r="F23" s="82"/>
      <c r="G23" s="172">
        <v>0.1</v>
      </c>
      <c r="H23" s="172">
        <v>0.3</v>
      </c>
      <c r="I23" s="172">
        <v>0.3</v>
      </c>
      <c r="J23" s="172">
        <v>0.3</v>
      </c>
      <c r="K23" s="82"/>
    </row>
    <row r="24" spans="1:12" x14ac:dyDescent="0.25">
      <c r="A24" s="79"/>
      <c r="B24" s="80"/>
      <c r="C24" s="35" t="e" cm="1">
        <f t="array" aca="1" ref="C24" ca="1">_xlfn.XLOOKUP($A23, INDIRECT("SINTÉTICO!$A$10:$A$" &amp; ÚLTIMALINSINTÉTICO), INDIRECT("SINTÉTICO!$I$10:$I$" &amp; ÚLTIMALINSINTÉTICO))</f>
        <v>#N/A</v>
      </c>
      <c r="D24" s="82" t="str">
        <f t="shared" ref="D24:K24" si="18">IF(D23="","",$C24*D23)</f>
        <v/>
      </c>
      <c r="E24" s="82" t="str">
        <f t="shared" si="18"/>
        <v/>
      </c>
      <c r="F24" s="82" t="str">
        <f t="shared" si="18"/>
        <v/>
      </c>
      <c r="G24" s="83" t="e">
        <f t="shared" ca="1" si="18"/>
        <v>#N/A</v>
      </c>
      <c r="H24" s="83" t="e">
        <f t="shared" ca="1" si="18"/>
        <v>#N/A</v>
      </c>
      <c r="I24" s="83" t="e">
        <f t="shared" ca="1" si="18"/>
        <v>#N/A</v>
      </c>
      <c r="J24" s="83" t="e">
        <f t="shared" ca="1" si="18"/>
        <v>#N/A</v>
      </c>
      <c r="K24" s="82" t="str">
        <f t="shared" si="18"/>
        <v/>
      </c>
    </row>
    <row r="25" spans="1:12" ht="13.2" customHeight="1" x14ac:dyDescent="0.25">
      <c r="A25" s="133" t="s">
        <v>206</v>
      </c>
      <c r="B25" s="20" t="e" cm="1">
        <f t="array" aca="1" ref="B25" ca="1">_xlfn.XLOOKUP($A25, INDIRECT("SINTÉTICO!$A$10:$A$" &amp; ÚLTIMALINSINTÉTICO), INDIRECT("SINTÉTICO!$D$10:$D$" &amp; ÚLTIMALINSINTÉTICO))</f>
        <v>#N/A</v>
      </c>
      <c r="C25" s="78">
        <f t="shared" ref="C25" si="19">SUM(D25:K25)</f>
        <v>1</v>
      </c>
      <c r="D25" s="82"/>
      <c r="E25" s="82"/>
      <c r="F25" s="82"/>
      <c r="G25" s="172">
        <v>0.1</v>
      </c>
      <c r="H25" s="172">
        <v>0.3</v>
      </c>
      <c r="I25" s="172">
        <v>0.3</v>
      </c>
      <c r="J25" s="172">
        <v>0.3</v>
      </c>
      <c r="K25" s="82"/>
    </row>
    <row r="26" spans="1:12" ht="13.2" customHeight="1" x14ac:dyDescent="0.25">
      <c r="A26" s="79"/>
      <c r="B26" s="80"/>
      <c r="C26" s="35" t="e" cm="1">
        <f t="array" aca="1" ref="C26" ca="1">_xlfn.XLOOKUP($A25, INDIRECT("SINTÉTICO!$A$10:$A$" &amp; ÚLTIMALINSINTÉTICO), INDIRECT("SINTÉTICO!$I$10:$I$" &amp; ÚLTIMALINSINTÉTICO))</f>
        <v>#N/A</v>
      </c>
      <c r="D26" s="82" t="str">
        <f t="shared" ref="D26:K26" si="20">IF(D25="","",$C26*D25)</f>
        <v/>
      </c>
      <c r="E26" s="82" t="str">
        <f t="shared" si="20"/>
        <v/>
      </c>
      <c r="F26" s="82" t="str">
        <f t="shared" si="20"/>
        <v/>
      </c>
      <c r="G26" s="83" t="e">
        <f t="shared" ca="1" si="20"/>
        <v>#N/A</v>
      </c>
      <c r="H26" s="83" t="e">
        <f t="shared" ca="1" si="20"/>
        <v>#N/A</v>
      </c>
      <c r="I26" s="83" t="e">
        <f t="shared" ca="1" si="20"/>
        <v>#N/A</v>
      </c>
      <c r="J26" s="83" t="e">
        <f t="shared" ca="1" si="20"/>
        <v>#N/A</v>
      </c>
      <c r="K26" s="82" t="str">
        <f t="shared" si="20"/>
        <v/>
      </c>
      <c r="L26" s="26"/>
    </row>
    <row r="27" spans="1:12" x14ac:dyDescent="0.25">
      <c r="A27" s="133" t="s">
        <v>207</v>
      </c>
      <c r="B27" s="20" t="e" cm="1">
        <f t="array" aca="1" ref="B27" ca="1">_xlfn.XLOOKUP($A27, INDIRECT("SINTÉTICO!$A$10:$A$" &amp; ÚLTIMALINSINTÉTICO), INDIRECT("SINTÉTICO!$D$10:$D$" &amp; ÚLTIMALINSINTÉTICO))</f>
        <v>#N/A</v>
      </c>
      <c r="C27" s="78">
        <f t="shared" ref="C27" si="21">SUM(D27:K27)</f>
        <v>1</v>
      </c>
      <c r="D27" s="82"/>
      <c r="E27" s="82"/>
      <c r="F27" s="172">
        <v>0.3</v>
      </c>
      <c r="G27" s="172">
        <v>0.3</v>
      </c>
      <c r="H27" s="172">
        <v>0.4</v>
      </c>
      <c r="I27" s="82"/>
      <c r="J27" s="82"/>
      <c r="K27" s="82"/>
    </row>
    <row r="28" spans="1:12" x14ac:dyDescent="0.25">
      <c r="A28" s="79"/>
      <c r="B28" s="80"/>
      <c r="C28" s="35" t="e" cm="1">
        <f t="array" aca="1" ref="C28" ca="1">_xlfn.XLOOKUP($A27, INDIRECT("SINTÉTICO!$A$10:$A$" &amp; ÚLTIMALINSINTÉTICO), INDIRECT("SINTÉTICO!$I$10:$I$" &amp; ÚLTIMALINSINTÉTICO))</f>
        <v>#N/A</v>
      </c>
      <c r="D28" s="82" t="str">
        <f t="shared" ref="D28:K28" si="22">IF(D27="","",$C28*D27)</f>
        <v/>
      </c>
      <c r="E28" s="82" t="str">
        <f t="shared" si="22"/>
        <v/>
      </c>
      <c r="F28" s="83" t="e">
        <f t="shared" ca="1" si="22"/>
        <v>#N/A</v>
      </c>
      <c r="G28" s="83" t="e">
        <f t="shared" ca="1" si="22"/>
        <v>#N/A</v>
      </c>
      <c r="H28" s="83" t="e">
        <f t="shared" ca="1" si="22"/>
        <v>#N/A</v>
      </c>
      <c r="I28" s="82" t="str">
        <f t="shared" si="22"/>
        <v/>
      </c>
      <c r="J28" s="82" t="str">
        <f t="shared" si="22"/>
        <v/>
      </c>
      <c r="K28" s="82" t="str">
        <f t="shared" si="22"/>
        <v/>
      </c>
    </row>
    <row r="29" spans="1:12" x14ac:dyDescent="0.25">
      <c r="A29" s="133" t="s">
        <v>208</v>
      </c>
      <c r="B29" s="20" t="e" cm="1">
        <f t="array" aca="1" ref="B29" ca="1">_xlfn.XLOOKUP($A29, INDIRECT("SINTÉTICO!$A$10:$A$" &amp; ÚLTIMALINSINTÉTICO), INDIRECT("SINTÉTICO!$D$10:$D$" &amp; ÚLTIMALINSINTÉTICO))</f>
        <v>#N/A</v>
      </c>
      <c r="C29" s="78">
        <f t="shared" ref="C29" si="23">SUM(D29:K29)</f>
        <v>1</v>
      </c>
      <c r="D29" s="82"/>
      <c r="E29" s="82"/>
      <c r="F29" s="82"/>
      <c r="G29" s="82"/>
      <c r="H29" s="82"/>
      <c r="I29" s="172">
        <v>0.3</v>
      </c>
      <c r="J29" s="172">
        <v>0.2</v>
      </c>
      <c r="K29" s="172">
        <v>0.5</v>
      </c>
    </row>
    <row r="30" spans="1:12" x14ac:dyDescent="0.25">
      <c r="A30" s="79"/>
      <c r="B30" s="80"/>
      <c r="C30" s="35" t="e" cm="1">
        <f t="array" aca="1" ref="C30" ca="1">_xlfn.XLOOKUP($A29, INDIRECT("SINTÉTICO!$A$10:$A$" &amp; ÚLTIMALINSINTÉTICO), INDIRECT("SINTÉTICO!$I$10:$I$" &amp; ÚLTIMALINSINTÉTICO))</f>
        <v>#N/A</v>
      </c>
      <c r="D30" s="82" t="str">
        <f t="shared" ref="D30:K30" si="24">IF(D29="","",$C30*D29)</f>
        <v/>
      </c>
      <c r="E30" s="82" t="str">
        <f t="shared" si="24"/>
        <v/>
      </c>
      <c r="F30" s="82" t="str">
        <f t="shared" si="24"/>
        <v/>
      </c>
      <c r="G30" s="82" t="str">
        <f t="shared" si="24"/>
        <v/>
      </c>
      <c r="H30" s="82" t="str">
        <f t="shared" si="24"/>
        <v/>
      </c>
      <c r="I30" s="83" t="e">
        <f t="shared" ca="1" si="24"/>
        <v>#N/A</v>
      </c>
      <c r="J30" s="83" t="e">
        <f t="shared" ca="1" si="24"/>
        <v>#N/A</v>
      </c>
      <c r="K30" s="83" t="e">
        <f t="shared" ca="1" si="24"/>
        <v>#N/A</v>
      </c>
    </row>
    <row r="31" spans="1:12" x14ac:dyDescent="0.25">
      <c r="A31" s="184" t="s">
        <v>117</v>
      </c>
      <c r="B31" s="184"/>
      <c r="D31" s="73" t="e">
        <f ca="1">D32/$K$34</f>
        <v>#N/A</v>
      </c>
      <c r="E31" s="73" t="e">
        <f t="shared" ref="E31:K31" ca="1" si="25">E32/$K$34</f>
        <v>#N/A</v>
      </c>
      <c r="F31" s="73" t="e">
        <f t="shared" ca="1" si="25"/>
        <v>#N/A</v>
      </c>
      <c r="G31" s="73" t="e">
        <f t="shared" ca="1" si="25"/>
        <v>#N/A</v>
      </c>
      <c r="H31" s="73" t="e">
        <f t="shared" ca="1" si="25"/>
        <v>#N/A</v>
      </c>
      <c r="I31" s="73" t="e">
        <f t="shared" ca="1" si="25"/>
        <v>#N/A</v>
      </c>
      <c r="J31" s="73" t="e">
        <f t="shared" ca="1" si="25"/>
        <v>#N/A</v>
      </c>
      <c r="K31" s="73" t="e">
        <f t="shared" ca="1" si="25"/>
        <v>#N/A</v>
      </c>
    </row>
    <row r="32" spans="1:12" x14ac:dyDescent="0.25">
      <c r="A32" s="184" t="s">
        <v>118</v>
      </c>
      <c r="B32" s="184"/>
      <c r="D32" s="25" t="e" cm="1">
        <f t="array" aca="1" ref="D32" ca="1">SUM(INDEX(D$5:D$30,_xlfn.SEQUENCE(1,COUNTA($A$5:$A$30),2,2)))</f>
        <v>#N/A</v>
      </c>
      <c r="E32" s="25" t="e" cm="1">
        <f t="array" aca="1" ref="E32" ca="1">SUM(INDEX(E$5:E$30,_xlfn.SEQUENCE(1,COUNTA($A$5:$A$30),2,2)))</f>
        <v>#N/A</v>
      </c>
      <c r="F32" s="25" t="e" cm="1">
        <f t="array" aca="1" ref="F32" ca="1">SUM(INDEX(F$5:F$30,_xlfn.SEQUENCE(1,COUNTA($A$5:$A$30),2,2)))</f>
        <v>#N/A</v>
      </c>
      <c r="G32" s="25" t="e" cm="1">
        <f t="array" aca="1" ref="G32" ca="1">SUM(INDEX(G$5:G$30,_xlfn.SEQUENCE(1,COUNTA($A$5:$A$30),2,2)))</f>
        <v>#N/A</v>
      </c>
      <c r="H32" s="25" t="e" cm="1">
        <f t="array" aca="1" ref="H32" ca="1">SUM(INDEX(H$5:H$30,_xlfn.SEQUENCE(1,COUNTA($A$5:$A$30),2,2)))</f>
        <v>#N/A</v>
      </c>
      <c r="I32" s="25" t="e" cm="1">
        <f t="array" aca="1" ref="I32" ca="1">SUM(INDEX(I$5:I$30,_xlfn.SEQUENCE(1,COUNTA($A$5:$A$30),2,2)))</f>
        <v>#N/A</v>
      </c>
      <c r="J32" s="25" t="e" cm="1">
        <f t="array" aca="1" ref="J32" ca="1">SUM(INDEX(J$5:J$30,_xlfn.SEQUENCE(1,COUNTA($A$5:$A$30),2,2)))</f>
        <v>#N/A</v>
      </c>
      <c r="K32" s="25" t="e" cm="1">
        <f t="array" aca="1" ref="K32" ca="1">SUM(INDEX(K$5:K$30,_xlfn.SEQUENCE(1,COUNTA($A$5:$A$30),2,2)))</f>
        <v>#N/A</v>
      </c>
    </row>
    <row r="33" spans="1:12" x14ac:dyDescent="0.25">
      <c r="A33" s="184" t="s">
        <v>119</v>
      </c>
      <c r="B33" s="184"/>
      <c r="D33" s="74" t="e">
        <f ca="1">D31</f>
        <v>#N/A</v>
      </c>
      <c r="E33" s="74" t="e">
        <f ca="1">E31+D33</f>
        <v>#N/A</v>
      </c>
      <c r="F33" s="74" t="e">
        <f t="shared" ref="F33:K34" ca="1" si="26">F31+E33</f>
        <v>#N/A</v>
      </c>
      <c r="G33" s="74" t="e">
        <f t="shared" ca="1" si="26"/>
        <v>#N/A</v>
      </c>
      <c r="H33" s="74" t="e">
        <f t="shared" ca="1" si="26"/>
        <v>#N/A</v>
      </c>
      <c r="I33" s="74" t="e">
        <f t="shared" ca="1" si="26"/>
        <v>#N/A</v>
      </c>
      <c r="J33" s="74" t="e">
        <f t="shared" ca="1" si="26"/>
        <v>#N/A</v>
      </c>
      <c r="K33" s="74" t="e">
        <f t="shared" ca="1" si="26"/>
        <v>#N/A</v>
      </c>
      <c r="L33" s="18" t="e">
        <f ca="1">K34=L34</f>
        <v>#N/A</v>
      </c>
    </row>
    <row r="34" spans="1:12" x14ac:dyDescent="0.25">
      <c r="A34" s="184" t="s">
        <v>120</v>
      </c>
      <c r="B34" s="184"/>
      <c r="D34" s="25" t="e">
        <f ca="1">D32</f>
        <v>#N/A</v>
      </c>
      <c r="E34" s="25" t="e">
        <f ca="1">E32+D34</f>
        <v>#N/A</v>
      </c>
      <c r="F34" s="25" t="e">
        <f t="shared" ca="1" si="26"/>
        <v>#N/A</v>
      </c>
      <c r="G34" s="25" t="e">
        <f t="shared" ca="1" si="26"/>
        <v>#N/A</v>
      </c>
      <c r="H34" s="25" t="e">
        <f t="shared" ca="1" si="26"/>
        <v>#N/A</v>
      </c>
      <c r="I34" s="25" t="e">
        <f t="shared" ca="1" si="26"/>
        <v>#N/A</v>
      </c>
      <c r="J34" s="25" t="e">
        <f t="shared" ca="1" si="26"/>
        <v>#N/A</v>
      </c>
      <c r="K34" s="25" t="e">
        <f t="shared" ca="1" si="26"/>
        <v>#N/A</v>
      </c>
      <c r="L34" s="84">
        <f ca="1">TOTALGERAL</f>
        <v>0</v>
      </c>
    </row>
    <row r="36" spans="1:12" x14ac:dyDescent="0.25">
      <c r="A36" s="85" t="str">
        <f>LOCALEDATA</f>
        <v>Morro do Chapéu/BA, 15 de agosto de 2025.</v>
      </c>
      <c r="D36" s="26"/>
      <c r="E36" s="26"/>
      <c r="F36" s="26"/>
      <c r="G36" s="26"/>
      <c r="H36" s="26"/>
      <c r="I36" s="26"/>
      <c r="J36" s="26"/>
      <c r="K36" s="26"/>
    </row>
  </sheetData>
  <autoFilter ref="A4:K34" xr:uid="{9415BEDA-E829-44F8-810E-9835BC73BA3D}"/>
  <mergeCells count="4">
    <mergeCell ref="A31:B31"/>
    <mergeCell ref="A32:B32"/>
    <mergeCell ref="A33:B33"/>
    <mergeCell ref="A34:B34"/>
  </mergeCells>
  <phoneticPr fontId="3" type="noConversion"/>
  <conditionalFormatting sqref="D5:K30">
    <cfRule type="expression" dxfId="17" priority="1">
      <formula>D5&lt;&gt;""</formula>
    </cfRule>
  </conditionalFormatting>
  <printOptions horizontalCentered="1"/>
  <pageMargins left="0.78740157480314965" right="0.78740157480314965" top="1.1811023622047245" bottom="0.78740157480314965" header="0.19685039370078741" footer="0.19685039370078741"/>
  <pageSetup paperSize="9" scale="66" orientation="landscape" r:id="rId1"/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9FC66-20D0-4703-9759-DE36D52A26AC}">
  <sheetPr codeName="Planilha4">
    <tabColor rgb="FFFF0000"/>
  </sheetPr>
  <dimension ref="A1:P6544"/>
  <sheetViews>
    <sheetView showGridLines="0" view="pageBreakPreview" zoomScale="85" zoomScaleNormal="100" zoomScaleSheetLayoutView="85" workbookViewId="0"/>
  </sheetViews>
  <sheetFormatPr defaultColWidth="8.69921875" defaultRowHeight="13.8" x14ac:dyDescent="0.25"/>
  <cols>
    <col min="1" max="1" width="7.796875" style="28" bestFit="1" customWidth="1"/>
    <col min="2" max="2" width="8.8984375" style="28" customWidth="1"/>
    <col min="3" max="3" width="40.69921875" style="28" customWidth="1"/>
    <col min="4" max="4" width="11.09765625" style="36" customWidth="1"/>
    <col min="5" max="5" width="2.69921875" style="36" customWidth="1"/>
    <col min="6" max="6" width="18.69921875" style="6" bestFit="1" customWidth="1"/>
    <col min="7" max="7" width="7.3984375" style="6" bestFit="1" customWidth="1"/>
    <col min="8" max="8" width="4.8984375" style="6" bestFit="1" customWidth="1"/>
    <col min="9" max="9" width="7.3984375" style="6" bestFit="1" customWidth="1"/>
    <col min="10" max="10" width="2.69921875" style="6" customWidth="1"/>
    <col min="11" max="11" width="22.19921875" style="6" bestFit="1" customWidth="1"/>
    <col min="12" max="12" width="7.3984375" style="6" bestFit="1" customWidth="1"/>
    <col min="13" max="13" width="4.8984375" style="6" bestFit="1" customWidth="1"/>
    <col min="14" max="14" width="7.3984375" style="6" bestFit="1" customWidth="1"/>
    <col min="15" max="15" width="5.796875" style="6" bestFit="1" customWidth="1"/>
    <col min="16" max="16" width="10.796875" style="6" bestFit="1" customWidth="1"/>
    <col min="17" max="16384" width="8.69921875" style="28"/>
  </cols>
  <sheetData>
    <row r="1" spans="1:15" x14ac:dyDescent="0.25">
      <c r="E1" s="37"/>
    </row>
    <row r="2" spans="1:15" x14ac:dyDescent="0.25">
      <c r="A2" s="189" t="s">
        <v>124</v>
      </c>
      <c r="B2" s="189"/>
      <c r="C2" s="189"/>
      <c r="D2" s="189"/>
      <c r="E2" s="28"/>
    </row>
    <row r="3" spans="1:15" ht="14.4" thickBot="1" x14ac:dyDescent="0.3">
      <c r="A3" s="190" t="str">
        <f>IF(D14=0,"Encargos sociais: não desonerados","Encargos sociais: desonerados")</f>
        <v>Encargos sociais: não desonerados</v>
      </c>
      <c r="B3" s="190"/>
      <c r="C3" s="190"/>
      <c r="D3" s="190"/>
      <c r="E3" s="28"/>
      <c r="F3" s="191" t="s">
        <v>102</v>
      </c>
      <c r="G3" s="192"/>
      <c r="H3" s="192"/>
      <c r="I3" s="193"/>
      <c r="K3" s="191" t="s">
        <v>103</v>
      </c>
      <c r="L3" s="192"/>
      <c r="M3" s="193"/>
      <c r="N3" s="38"/>
    </row>
    <row r="4" spans="1:15" ht="14.4" thickBot="1" x14ac:dyDescent="0.3">
      <c r="A4" s="39" t="s">
        <v>60</v>
      </c>
      <c r="B4" s="39" t="s">
        <v>17</v>
      </c>
      <c r="C4" s="40"/>
      <c r="D4" s="41" t="s">
        <v>18</v>
      </c>
      <c r="E4" s="42"/>
      <c r="F4" s="38" t="s">
        <v>99</v>
      </c>
      <c r="G4" s="43" t="s">
        <v>107</v>
      </c>
      <c r="H4" s="43" t="s">
        <v>100</v>
      </c>
      <c r="I4" s="43" t="s">
        <v>101</v>
      </c>
      <c r="K4" s="38" t="s">
        <v>99</v>
      </c>
      <c r="L4" s="43" t="s">
        <v>107</v>
      </c>
      <c r="M4" s="43" t="s">
        <v>100</v>
      </c>
      <c r="N4" s="43" t="s">
        <v>101</v>
      </c>
    </row>
    <row r="5" spans="1:15" ht="15" customHeight="1" x14ac:dyDescent="0.25">
      <c r="A5" s="44">
        <v>1</v>
      </c>
      <c r="B5" s="44" t="s">
        <v>19</v>
      </c>
      <c r="C5" s="45" t="s">
        <v>20</v>
      </c>
      <c r="D5" s="46">
        <v>3</v>
      </c>
      <c r="E5" s="28"/>
      <c r="F5" s="47" t="s">
        <v>104</v>
      </c>
      <c r="G5" s="7">
        <v>3</v>
      </c>
      <c r="H5" s="7">
        <v>4</v>
      </c>
      <c r="I5" s="7">
        <v>5.5</v>
      </c>
      <c r="K5" s="48" t="s">
        <v>104</v>
      </c>
      <c r="L5" s="7">
        <v>3.8</v>
      </c>
      <c r="M5" s="7">
        <v>4.01</v>
      </c>
      <c r="N5" s="7">
        <v>4.67</v>
      </c>
    </row>
    <row r="6" spans="1:15" x14ac:dyDescent="0.25">
      <c r="A6" s="8">
        <v>2</v>
      </c>
      <c r="B6" s="8" t="s">
        <v>21</v>
      </c>
      <c r="C6" s="49" t="s">
        <v>22</v>
      </c>
      <c r="D6" s="50">
        <v>0.8</v>
      </c>
      <c r="E6" s="28"/>
      <c r="F6" s="47" t="s">
        <v>105</v>
      </c>
      <c r="G6" s="7">
        <v>0.8</v>
      </c>
      <c r="H6" s="7">
        <v>0.8</v>
      </c>
      <c r="I6" s="7">
        <v>1</v>
      </c>
      <c r="K6" s="48" t="s">
        <v>105</v>
      </c>
      <c r="L6" s="7">
        <v>0.32</v>
      </c>
      <c r="M6" s="7">
        <v>0.4</v>
      </c>
      <c r="N6" s="7">
        <v>0.74</v>
      </c>
    </row>
    <row r="7" spans="1:15" x14ac:dyDescent="0.25">
      <c r="A7" s="8">
        <v>3</v>
      </c>
      <c r="B7" s="8" t="s">
        <v>23</v>
      </c>
      <c r="C7" s="49" t="s">
        <v>24</v>
      </c>
      <c r="D7" s="50">
        <v>0.97</v>
      </c>
      <c r="E7" s="28"/>
      <c r="F7" s="47" t="s">
        <v>106</v>
      </c>
      <c r="G7" s="7">
        <v>0.97</v>
      </c>
      <c r="H7" s="7">
        <v>1.27</v>
      </c>
      <c r="I7" s="7">
        <v>1.27</v>
      </c>
      <c r="K7" s="48" t="s">
        <v>106</v>
      </c>
      <c r="L7" s="7">
        <v>0.5</v>
      </c>
      <c r="M7" s="7">
        <v>0.55999999999999994</v>
      </c>
      <c r="N7" s="7">
        <v>0.97</v>
      </c>
    </row>
    <row r="8" spans="1:15" x14ac:dyDescent="0.25">
      <c r="A8" s="8">
        <v>4</v>
      </c>
      <c r="B8" s="8" t="s">
        <v>25</v>
      </c>
      <c r="C8" s="49" t="s">
        <v>26</v>
      </c>
      <c r="D8" s="50">
        <v>0.7</v>
      </c>
      <c r="E8" s="28"/>
      <c r="F8" s="48" t="s">
        <v>108</v>
      </c>
      <c r="G8" s="7">
        <v>0.59</v>
      </c>
      <c r="H8" s="7">
        <v>1.23</v>
      </c>
      <c r="I8" s="7">
        <v>1.39</v>
      </c>
      <c r="K8" s="48" t="s">
        <v>108</v>
      </c>
      <c r="L8" s="7">
        <v>1.02</v>
      </c>
      <c r="M8" s="7">
        <v>1.1100000000000001</v>
      </c>
      <c r="N8" s="7">
        <v>1.21</v>
      </c>
    </row>
    <row r="9" spans="1:15" x14ac:dyDescent="0.25">
      <c r="A9" s="8">
        <v>5</v>
      </c>
      <c r="B9" s="8" t="s">
        <v>14</v>
      </c>
      <c r="C9" s="49" t="s">
        <v>27</v>
      </c>
      <c r="D9" s="50">
        <v>7.05</v>
      </c>
      <c r="E9" s="28"/>
      <c r="F9" s="48" t="s">
        <v>109</v>
      </c>
      <c r="G9" s="7">
        <v>6.16</v>
      </c>
      <c r="H9" s="7">
        <v>7.3999999999999995</v>
      </c>
      <c r="I9" s="7">
        <v>8.9599999999999991</v>
      </c>
      <c r="K9" s="48" t="s">
        <v>109</v>
      </c>
      <c r="L9" s="7">
        <v>6.64</v>
      </c>
      <c r="M9" s="7">
        <v>7.3</v>
      </c>
      <c r="N9" s="7">
        <v>8.6900000000000013</v>
      </c>
    </row>
    <row r="10" spans="1:15" x14ac:dyDescent="0.25">
      <c r="A10" s="8">
        <v>6</v>
      </c>
      <c r="B10" s="8" t="s">
        <v>28</v>
      </c>
      <c r="C10" s="51" t="s">
        <v>29</v>
      </c>
      <c r="D10" s="50">
        <f>SUM(D11:D14)</f>
        <v>6.1499999999999995</v>
      </c>
      <c r="E10" s="28"/>
    </row>
    <row r="11" spans="1:15" x14ac:dyDescent="0.25">
      <c r="A11" s="9" t="s">
        <v>57</v>
      </c>
      <c r="B11" s="9" t="s">
        <v>30</v>
      </c>
      <c r="C11" s="52" t="s">
        <v>31</v>
      </c>
      <c r="D11" s="53">
        <v>2.4999999999999991</v>
      </c>
      <c r="E11" s="28"/>
    </row>
    <row r="12" spans="1:15" x14ac:dyDescent="0.25">
      <c r="A12" s="9" t="s">
        <v>58</v>
      </c>
      <c r="B12" s="9" t="s">
        <v>32</v>
      </c>
      <c r="C12" s="52" t="s">
        <v>33</v>
      </c>
      <c r="D12" s="53">
        <v>3</v>
      </c>
      <c r="E12" s="28"/>
    </row>
    <row r="13" spans="1:15" x14ac:dyDescent="0.25">
      <c r="A13" s="9" t="s">
        <v>59</v>
      </c>
      <c r="B13" s="9" t="s">
        <v>34</v>
      </c>
      <c r="C13" s="52" t="s">
        <v>35</v>
      </c>
      <c r="D13" s="53">
        <v>0.65</v>
      </c>
      <c r="E13" s="28"/>
    </row>
    <row r="14" spans="1:15" ht="14.4" thickBot="1" x14ac:dyDescent="0.3">
      <c r="A14" s="9" t="s">
        <v>125</v>
      </c>
      <c r="B14" s="9" t="s">
        <v>126</v>
      </c>
      <c r="C14" s="52" t="s">
        <v>126</v>
      </c>
      <c r="D14" s="53">
        <v>0</v>
      </c>
      <c r="E14" s="28"/>
    </row>
    <row r="15" spans="1:15" ht="14.4" thickBot="1" x14ac:dyDescent="0.3">
      <c r="A15" s="10" t="s">
        <v>36</v>
      </c>
      <c r="B15" s="11"/>
      <c r="C15" s="12"/>
      <c r="D15" s="54">
        <f>((((1+((D5+D6+D7)/100))*(1+(D8/100))*(1+(D9/100)))/(1-(D10/100)))-1)</f>
        <v>0.20342438993074063</v>
      </c>
      <c r="E15" s="28"/>
    </row>
    <row r="16" spans="1:15" ht="14.4" thickBot="1" x14ac:dyDescent="0.3">
      <c r="A16" s="13" t="s">
        <v>37</v>
      </c>
      <c r="B16" s="14"/>
      <c r="C16" s="15"/>
      <c r="D16" s="55">
        <f>ROUND(D15,4)</f>
        <v>0.2034</v>
      </c>
      <c r="E16" s="28"/>
      <c r="O16" s="16"/>
    </row>
    <row r="17" spans="1:15" ht="15.75" customHeight="1" x14ac:dyDescent="0.25">
      <c r="D17" s="28"/>
      <c r="E17" s="28"/>
      <c r="O17" s="16"/>
    </row>
    <row r="18" spans="1:15" x14ac:dyDescent="0.25">
      <c r="A18" s="28" t="s">
        <v>38</v>
      </c>
      <c r="B18" s="28" t="s">
        <v>56</v>
      </c>
      <c r="D18" s="28"/>
      <c r="E18" s="28"/>
      <c r="O18" s="16"/>
    </row>
    <row r="19" spans="1:15" x14ac:dyDescent="0.25">
      <c r="D19" s="28"/>
      <c r="E19" s="28"/>
      <c r="O19" s="16"/>
    </row>
    <row r="20" spans="1:15" x14ac:dyDescent="0.25">
      <c r="A20" s="28" t="s">
        <v>39</v>
      </c>
      <c r="D20" s="28"/>
      <c r="E20" s="28"/>
      <c r="O20" s="16"/>
    </row>
    <row r="21" spans="1:15" ht="15.75" customHeight="1" x14ac:dyDescent="0.25">
      <c r="A21" s="28" t="s">
        <v>40</v>
      </c>
      <c r="B21" s="28" t="s">
        <v>41</v>
      </c>
      <c r="D21" s="28"/>
      <c r="E21" s="28"/>
      <c r="O21" s="16"/>
    </row>
    <row r="22" spans="1:15" ht="15" customHeight="1" x14ac:dyDescent="0.25">
      <c r="A22" s="28" t="s">
        <v>42</v>
      </c>
      <c r="B22" s="28" t="s">
        <v>43</v>
      </c>
      <c r="D22" s="28"/>
      <c r="E22" s="28"/>
      <c r="O22" s="16"/>
    </row>
    <row r="23" spans="1:15" x14ac:dyDescent="0.25">
      <c r="A23" s="28" t="s">
        <v>44</v>
      </c>
      <c r="B23" s="28" t="s">
        <v>45</v>
      </c>
      <c r="D23" s="28"/>
      <c r="E23" s="28"/>
      <c r="O23" s="16"/>
    </row>
    <row r="24" spans="1:15" x14ac:dyDescent="0.25">
      <c r="A24" s="28" t="s">
        <v>46</v>
      </c>
      <c r="B24" s="28" t="s">
        <v>47</v>
      </c>
      <c r="D24" s="28"/>
      <c r="E24" s="28"/>
      <c r="O24" s="16"/>
    </row>
    <row r="25" spans="1:15" x14ac:dyDescent="0.25">
      <c r="A25" s="28" t="s">
        <v>48</v>
      </c>
      <c r="B25" s="28" t="s">
        <v>49</v>
      </c>
      <c r="D25" s="28"/>
      <c r="E25" s="28"/>
      <c r="O25" s="16"/>
    </row>
    <row r="26" spans="1:15" x14ac:dyDescent="0.25">
      <c r="A26" s="28" t="s">
        <v>50</v>
      </c>
      <c r="B26" s="28" t="s">
        <v>51</v>
      </c>
      <c r="D26" s="28"/>
      <c r="E26" s="28"/>
      <c r="O26" s="16"/>
    </row>
    <row r="27" spans="1:15" x14ac:dyDescent="0.25">
      <c r="D27" s="28"/>
      <c r="E27" s="28"/>
      <c r="O27" s="16"/>
    </row>
    <row r="28" spans="1:15" x14ac:dyDescent="0.25">
      <c r="A28" s="5" t="str">
        <f>LOCALEDATA</f>
        <v>Morro do Chapéu/BA, 15 de agosto de 2025.</v>
      </c>
      <c r="B28" s="4"/>
      <c r="D28" s="28"/>
      <c r="E28" s="28"/>
      <c r="O28" s="16"/>
    </row>
    <row r="29" spans="1:15" x14ac:dyDescent="0.25">
      <c r="A29" s="3"/>
      <c r="B29" s="3"/>
      <c r="D29" s="28"/>
      <c r="E29" s="28"/>
      <c r="O29" s="16"/>
    </row>
    <row r="30" spans="1:15" x14ac:dyDescent="0.25">
      <c r="A30" s="2"/>
      <c r="B30" s="2"/>
    </row>
    <row r="31" spans="1:15" x14ac:dyDescent="0.25">
      <c r="A31" s="2"/>
      <c r="B31" s="2"/>
    </row>
    <row r="32" spans="1:15" x14ac:dyDescent="0.25">
      <c r="A32" s="2"/>
      <c r="B32" s="2"/>
    </row>
    <row r="33" spans="1:2" x14ac:dyDescent="0.25">
      <c r="A33" s="2"/>
      <c r="B33" s="2"/>
    </row>
    <row r="37" spans="1:2" ht="15" customHeight="1" x14ac:dyDescent="0.25"/>
    <row r="97" spans="7:7" x14ac:dyDescent="0.25">
      <c r="G97" s="36"/>
    </row>
    <row r="178" spans="7:7" x14ac:dyDescent="0.25">
      <c r="G178" s="36"/>
    </row>
    <row r="231" spans="8:8" x14ac:dyDescent="0.25">
      <c r="H231" s="36"/>
    </row>
    <row r="251" spans="1:9" x14ac:dyDescent="0.25">
      <c r="A251" s="56"/>
    </row>
    <row r="254" spans="1:9" x14ac:dyDescent="0.25">
      <c r="I254" s="36"/>
    </row>
    <row r="274" spans="7:7" x14ac:dyDescent="0.25">
      <c r="G274" s="36"/>
    </row>
    <row r="366" spans="3:7" x14ac:dyDescent="0.25">
      <c r="C366" s="57"/>
    </row>
    <row r="367" spans="3:7" x14ac:dyDescent="0.25">
      <c r="C367" s="58"/>
      <c r="G367" s="36"/>
    </row>
    <row r="462" spans="7:7" x14ac:dyDescent="0.25">
      <c r="G462" s="36"/>
    </row>
    <row r="590" spans="7:7" x14ac:dyDescent="0.25">
      <c r="G590" s="36"/>
    </row>
    <row r="613" spans="7:7" x14ac:dyDescent="0.25">
      <c r="G613" s="59"/>
    </row>
    <row r="1045" spans="6:12" x14ac:dyDescent="0.25">
      <c r="F1045" s="9"/>
    </row>
    <row r="1046" spans="6:12" x14ac:dyDescent="0.25">
      <c r="F1046" s="9"/>
    </row>
    <row r="1047" spans="6:12" x14ac:dyDescent="0.25">
      <c r="F1047" s="9"/>
    </row>
    <row r="1048" spans="6:12" x14ac:dyDescent="0.25">
      <c r="F1048" s="9"/>
    </row>
    <row r="1049" spans="6:12" x14ac:dyDescent="0.25">
      <c r="F1049" s="9"/>
    </row>
    <row r="1050" spans="6:12" x14ac:dyDescent="0.25">
      <c r="F1050" s="9"/>
    </row>
    <row r="1051" spans="6:12" x14ac:dyDescent="0.25">
      <c r="F1051" s="9"/>
    </row>
    <row r="1052" spans="6:12" x14ac:dyDescent="0.25">
      <c r="F1052" s="9"/>
    </row>
    <row r="1053" spans="6:12" x14ac:dyDescent="0.25">
      <c r="H1053" s="60"/>
    </row>
    <row r="1054" spans="6:12" x14ac:dyDescent="0.25">
      <c r="H1054" s="61"/>
      <c r="J1054" s="36"/>
      <c r="K1054" s="36"/>
      <c r="L1054" s="36"/>
    </row>
    <row r="1055" spans="6:12" x14ac:dyDescent="0.25">
      <c r="H1055" s="62"/>
    </row>
    <row r="2024" spans="6:8" x14ac:dyDescent="0.25">
      <c r="F2024" s="9"/>
    </row>
    <row r="2025" spans="6:8" x14ac:dyDescent="0.25">
      <c r="F2025" s="9"/>
    </row>
    <row r="2026" spans="6:8" x14ac:dyDescent="0.25">
      <c r="F2026" s="9"/>
    </row>
    <row r="2027" spans="6:8" x14ac:dyDescent="0.25">
      <c r="F2027" s="9"/>
    </row>
    <row r="2028" spans="6:8" x14ac:dyDescent="0.25">
      <c r="F2028" s="9"/>
    </row>
    <row r="2029" spans="6:8" x14ac:dyDescent="0.25">
      <c r="F2029" s="9"/>
    </row>
    <row r="2030" spans="6:8" x14ac:dyDescent="0.25">
      <c r="F2030" s="9"/>
    </row>
    <row r="2031" spans="6:8" x14ac:dyDescent="0.25">
      <c r="F2031" s="9"/>
    </row>
    <row r="2032" spans="6:8" x14ac:dyDescent="0.25">
      <c r="H2032" s="36"/>
    </row>
    <row r="3037" spans="1:4" x14ac:dyDescent="0.25">
      <c r="A3037" s="63"/>
      <c r="C3037" s="28" t="s">
        <v>52</v>
      </c>
      <c r="D3037" s="36" t="s">
        <v>53</v>
      </c>
    </row>
    <row r="3038" spans="1:4" x14ac:dyDescent="0.25">
      <c r="B3038" s="28">
        <v>2921</v>
      </c>
      <c r="C3038" s="28" t="s">
        <v>13</v>
      </c>
    </row>
    <row r="3039" spans="1:4" x14ac:dyDescent="0.25">
      <c r="B3039" s="28">
        <v>2922</v>
      </c>
      <c r="C3039" s="28" t="s">
        <v>13</v>
      </c>
    </row>
    <row r="3040" spans="1:4" x14ac:dyDescent="0.25">
      <c r="B3040" s="28">
        <v>3767</v>
      </c>
      <c r="C3040" s="28" t="s">
        <v>8</v>
      </c>
    </row>
    <row r="3041" spans="1:16" x14ac:dyDescent="0.25">
      <c r="B3041" s="28">
        <v>88310</v>
      </c>
      <c r="C3041" s="28" t="s">
        <v>8</v>
      </c>
      <c r="D3041" s="36" t="s">
        <v>54</v>
      </c>
    </row>
    <row r="3042" spans="1:16" x14ac:dyDescent="0.25">
      <c r="B3042" s="28">
        <v>88316</v>
      </c>
      <c r="C3042" s="28" t="s">
        <v>8</v>
      </c>
      <c r="D3042" s="36" t="s">
        <v>55</v>
      </c>
    </row>
    <row r="3044" spans="1:16" x14ac:dyDescent="0.25">
      <c r="F3044" s="64"/>
    </row>
    <row r="3045" spans="1:16" x14ac:dyDescent="0.25">
      <c r="F3045" s="64"/>
    </row>
    <row r="3046" spans="1:16" x14ac:dyDescent="0.25">
      <c r="F3046" s="64"/>
    </row>
    <row r="3047" spans="1:16" x14ac:dyDescent="0.25">
      <c r="F3047" s="64"/>
    </row>
    <row r="3048" spans="1:16" x14ac:dyDescent="0.25">
      <c r="F3048" s="64"/>
    </row>
    <row r="3049" spans="1:16" x14ac:dyDescent="0.25">
      <c r="F3049" s="64"/>
    </row>
    <row r="3050" spans="1:16" x14ac:dyDescent="0.25">
      <c r="F3050" s="64"/>
    </row>
    <row r="3051" spans="1:16" x14ac:dyDescent="0.25">
      <c r="F3051" s="64"/>
    </row>
    <row r="3052" spans="1:16" s="66" customFormat="1" x14ac:dyDescent="0.25">
      <c r="A3052" s="28"/>
      <c r="B3052" s="28"/>
      <c r="C3052" s="28"/>
      <c r="D3052" s="36"/>
      <c r="E3052" s="36"/>
      <c r="F3052" s="6"/>
      <c r="G3052" s="6"/>
      <c r="H3052" s="36"/>
      <c r="I3052" s="65"/>
      <c r="J3052" s="65"/>
      <c r="K3052" s="65"/>
      <c r="L3052" s="65"/>
      <c r="M3052" s="65"/>
      <c r="N3052" s="65"/>
      <c r="O3052" s="65"/>
      <c r="P3052" s="65"/>
    </row>
    <row r="3053" spans="1:16" s="66" customFormat="1" x14ac:dyDescent="0.25">
      <c r="A3053" s="28"/>
      <c r="B3053" s="28"/>
      <c r="C3053" s="28"/>
      <c r="D3053" s="36"/>
      <c r="E3053" s="36"/>
      <c r="F3053" s="6"/>
      <c r="G3053" s="6"/>
      <c r="H3053" s="6"/>
      <c r="I3053" s="65"/>
      <c r="J3053" s="65"/>
      <c r="K3053" s="65"/>
      <c r="L3053" s="65"/>
      <c r="M3053" s="65"/>
      <c r="N3053" s="65"/>
      <c r="O3053" s="65"/>
      <c r="P3053" s="65"/>
    </row>
    <row r="4029" spans="8:8" x14ac:dyDescent="0.25">
      <c r="H4029" s="67"/>
    </row>
    <row r="4033" spans="1:8" x14ac:dyDescent="0.25">
      <c r="A4033" s="63"/>
      <c r="C4033" s="28" t="s">
        <v>52</v>
      </c>
      <c r="D4033" s="36" t="s">
        <v>53</v>
      </c>
    </row>
    <row r="4034" spans="1:8" x14ac:dyDescent="0.25">
      <c r="B4034" s="28">
        <v>2921</v>
      </c>
      <c r="C4034" s="28" t="s">
        <v>13</v>
      </c>
    </row>
    <row r="4035" spans="1:8" x14ac:dyDescent="0.25">
      <c r="B4035" s="28">
        <v>2922</v>
      </c>
      <c r="C4035" s="28" t="s">
        <v>13</v>
      </c>
    </row>
    <row r="4036" spans="1:8" x14ac:dyDescent="0.25">
      <c r="B4036" s="28">
        <v>3767</v>
      </c>
      <c r="C4036" s="28" t="s">
        <v>8</v>
      </c>
    </row>
    <row r="4037" spans="1:8" x14ac:dyDescent="0.25">
      <c r="B4037" s="28">
        <v>88310</v>
      </c>
      <c r="C4037" s="28" t="s">
        <v>8</v>
      </c>
      <c r="D4037" s="36" t="s">
        <v>54</v>
      </c>
    </row>
    <row r="4038" spans="1:8" x14ac:dyDescent="0.25">
      <c r="B4038" s="28">
        <v>88316</v>
      </c>
      <c r="C4038" s="28" t="s">
        <v>8</v>
      </c>
      <c r="D4038" s="36" t="s">
        <v>55</v>
      </c>
    </row>
    <row r="4040" spans="1:8" x14ac:dyDescent="0.25">
      <c r="F4040" s="64"/>
    </row>
    <row r="4041" spans="1:8" x14ac:dyDescent="0.25">
      <c r="F4041" s="64"/>
    </row>
    <row r="4042" spans="1:8" x14ac:dyDescent="0.25">
      <c r="F4042" s="64"/>
    </row>
    <row r="4043" spans="1:8" x14ac:dyDescent="0.25">
      <c r="F4043" s="64"/>
    </row>
    <row r="4044" spans="1:8" x14ac:dyDescent="0.25">
      <c r="F4044" s="64"/>
    </row>
    <row r="4045" spans="1:8" x14ac:dyDescent="0.25">
      <c r="F4045" s="64"/>
    </row>
    <row r="4046" spans="1:8" x14ac:dyDescent="0.25">
      <c r="F4046" s="64"/>
    </row>
    <row r="4047" spans="1:8" x14ac:dyDescent="0.25">
      <c r="F4047" s="64"/>
    </row>
    <row r="4048" spans="1:8" x14ac:dyDescent="0.25">
      <c r="A4048" s="68"/>
      <c r="B4048" s="68"/>
      <c r="C4048" s="68"/>
      <c r="D4048" s="69"/>
      <c r="E4048" s="69"/>
      <c r="F4048" s="67"/>
      <c r="G4048" s="67"/>
      <c r="H4048" s="36"/>
    </row>
    <row r="4049" spans="1:16" x14ac:dyDescent="0.25">
      <c r="A4049" s="68"/>
      <c r="B4049" s="68"/>
      <c r="C4049" s="68"/>
      <c r="D4049" s="69"/>
      <c r="E4049" s="69"/>
      <c r="F4049" s="67"/>
      <c r="G4049" s="67"/>
      <c r="H4049" s="67"/>
    </row>
    <row r="4050" spans="1:16" s="66" customFormat="1" x14ac:dyDescent="0.25">
      <c r="D4050" s="70"/>
      <c r="E4050" s="70"/>
      <c r="F4050" s="65"/>
      <c r="G4050" s="65"/>
      <c r="H4050" s="65"/>
      <c r="I4050" s="65"/>
      <c r="J4050" s="65"/>
      <c r="K4050" s="65"/>
      <c r="L4050" s="65"/>
      <c r="M4050" s="65"/>
      <c r="N4050" s="65"/>
      <c r="O4050" s="65"/>
      <c r="P4050" s="65"/>
    </row>
    <row r="5073" spans="1:8" x14ac:dyDescent="0.25">
      <c r="A5073" s="68"/>
      <c r="B5073" s="68"/>
      <c r="C5073" s="68"/>
      <c r="D5073" s="69"/>
      <c r="E5073" s="69"/>
      <c r="F5073" s="67"/>
      <c r="G5073" s="67"/>
    </row>
    <row r="5074" spans="1:8" x14ac:dyDescent="0.25">
      <c r="A5074" s="68"/>
      <c r="B5074" s="68"/>
      <c r="C5074" s="68"/>
      <c r="D5074" s="69"/>
      <c r="E5074" s="69"/>
      <c r="F5074" s="67"/>
      <c r="G5074" s="67"/>
    </row>
    <row r="5075" spans="1:8" x14ac:dyDescent="0.25">
      <c r="A5075" s="68"/>
      <c r="B5075" s="68"/>
      <c r="C5075" s="68"/>
      <c r="D5075" s="69"/>
      <c r="E5075" s="69"/>
      <c r="F5075" s="67"/>
      <c r="G5075" s="67"/>
    </row>
    <row r="5076" spans="1:8" x14ac:dyDescent="0.25">
      <c r="A5076" s="68"/>
      <c r="B5076" s="68"/>
      <c r="C5076" s="68"/>
      <c r="D5076" s="69"/>
      <c r="E5076" s="69"/>
      <c r="F5076" s="67"/>
      <c r="G5076" s="67"/>
    </row>
    <row r="5077" spans="1:8" x14ac:dyDescent="0.25">
      <c r="A5077" s="68"/>
      <c r="B5077" s="68"/>
      <c r="C5077" s="68"/>
      <c r="D5077" s="69"/>
      <c r="E5077" s="69"/>
      <c r="F5077" s="67"/>
      <c r="G5077" s="67"/>
    </row>
    <row r="5078" spans="1:8" x14ac:dyDescent="0.25">
      <c r="A5078" s="68"/>
      <c r="B5078" s="68"/>
      <c r="C5078" s="68"/>
      <c r="D5078" s="69"/>
      <c r="E5078" s="69"/>
      <c r="F5078" s="67"/>
      <c r="G5078" s="67"/>
    </row>
    <row r="5079" spans="1:8" x14ac:dyDescent="0.25">
      <c r="A5079" s="68"/>
      <c r="B5079" s="68"/>
      <c r="C5079" s="68"/>
      <c r="D5079" s="69"/>
      <c r="E5079" s="69"/>
      <c r="F5079" s="67"/>
      <c r="G5079" s="67"/>
    </row>
    <row r="5080" spans="1:8" x14ac:dyDescent="0.25">
      <c r="A5080" s="68"/>
      <c r="B5080" s="68"/>
      <c r="C5080" s="68"/>
      <c r="D5080" s="69"/>
      <c r="E5080" s="69"/>
      <c r="F5080" s="67"/>
      <c r="G5080" s="67"/>
    </row>
    <row r="5081" spans="1:8" x14ac:dyDescent="0.25">
      <c r="A5081" s="68"/>
      <c r="B5081" s="68"/>
      <c r="C5081" s="68"/>
      <c r="D5081" s="69"/>
      <c r="E5081" s="69"/>
      <c r="F5081" s="67"/>
      <c r="G5081" s="67"/>
      <c r="H5081" s="67"/>
    </row>
    <row r="5082" spans="1:8" x14ac:dyDescent="0.25">
      <c r="A5082" s="68"/>
      <c r="B5082" s="68"/>
      <c r="C5082" s="68"/>
      <c r="D5082" s="69"/>
      <c r="E5082" s="69"/>
      <c r="F5082" s="67"/>
      <c r="G5082" s="67"/>
      <c r="H5082" s="67"/>
    </row>
    <row r="5086" spans="1:8" x14ac:dyDescent="0.25">
      <c r="A5086" s="63"/>
      <c r="C5086" s="28" t="s">
        <v>52</v>
      </c>
      <c r="D5086" s="36" t="s">
        <v>53</v>
      </c>
    </row>
    <row r="5087" spans="1:8" x14ac:dyDescent="0.25">
      <c r="B5087" s="28">
        <v>2921</v>
      </c>
      <c r="C5087" s="28" t="s">
        <v>13</v>
      </c>
    </row>
    <row r="5088" spans="1:8" x14ac:dyDescent="0.25">
      <c r="B5088" s="28">
        <v>2922</v>
      </c>
      <c r="C5088" s="28" t="s">
        <v>13</v>
      </c>
    </row>
    <row r="5089" spans="1:16" x14ac:dyDescent="0.25">
      <c r="B5089" s="28">
        <v>3767</v>
      </c>
      <c r="C5089" s="28" t="s">
        <v>8</v>
      </c>
    </row>
    <row r="5090" spans="1:16" x14ac:dyDescent="0.25">
      <c r="B5090" s="28">
        <v>88310</v>
      </c>
      <c r="C5090" s="28" t="s">
        <v>8</v>
      </c>
      <c r="D5090" s="36" t="s">
        <v>54</v>
      </c>
    </row>
    <row r="5091" spans="1:16" x14ac:dyDescent="0.25">
      <c r="B5091" s="28">
        <v>88316</v>
      </c>
      <c r="C5091" s="28" t="s">
        <v>8</v>
      </c>
      <c r="D5091" s="36" t="s">
        <v>55</v>
      </c>
    </row>
    <row r="5093" spans="1:16" x14ac:dyDescent="0.25">
      <c r="F5093" s="64"/>
    </row>
    <row r="5094" spans="1:16" x14ac:dyDescent="0.25">
      <c r="F5094" s="64"/>
    </row>
    <row r="5095" spans="1:16" x14ac:dyDescent="0.25">
      <c r="F5095" s="64"/>
    </row>
    <row r="5096" spans="1:16" x14ac:dyDescent="0.25">
      <c r="F5096" s="64"/>
    </row>
    <row r="5097" spans="1:16" x14ac:dyDescent="0.25">
      <c r="F5097" s="64"/>
    </row>
    <row r="5098" spans="1:16" x14ac:dyDescent="0.25">
      <c r="F5098" s="64"/>
    </row>
    <row r="5099" spans="1:16" x14ac:dyDescent="0.25">
      <c r="F5099" s="64"/>
    </row>
    <row r="5100" spans="1:16" x14ac:dyDescent="0.25">
      <c r="F5100" s="64"/>
    </row>
    <row r="5101" spans="1:16" s="66" customFormat="1" x14ac:dyDescent="0.25">
      <c r="A5101" s="68"/>
      <c r="B5101" s="68"/>
      <c r="C5101" s="68"/>
      <c r="D5101" s="69"/>
      <c r="E5101" s="69"/>
      <c r="F5101" s="67"/>
      <c r="G5101" s="67"/>
      <c r="H5101" s="71"/>
      <c r="I5101" s="65"/>
      <c r="J5101" s="65"/>
      <c r="K5101" s="65"/>
      <c r="L5101" s="65"/>
      <c r="M5101" s="65"/>
      <c r="N5101" s="65"/>
      <c r="O5101" s="65"/>
      <c r="P5101" s="65"/>
    </row>
    <row r="5102" spans="1:16" s="66" customFormat="1" x14ac:dyDescent="0.25">
      <c r="A5102" s="68"/>
      <c r="B5102" s="68"/>
      <c r="C5102" s="68"/>
      <c r="D5102" s="69"/>
      <c r="E5102" s="69"/>
      <c r="F5102" s="67"/>
      <c r="G5102" s="67"/>
      <c r="H5102" s="67"/>
      <c r="I5102" s="65"/>
      <c r="J5102" s="65"/>
      <c r="K5102" s="65"/>
      <c r="L5102" s="65"/>
      <c r="M5102" s="65"/>
      <c r="N5102" s="65"/>
      <c r="O5102" s="65"/>
      <c r="P5102" s="65"/>
    </row>
    <row r="5103" spans="1:16" s="66" customFormat="1" x14ac:dyDescent="0.25">
      <c r="F5103" s="65"/>
      <c r="G5103" s="65"/>
      <c r="H5103" s="65"/>
      <c r="I5103" s="65"/>
      <c r="J5103" s="65"/>
      <c r="K5103" s="65"/>
      <c r="L5103" s="65"/>
      <c r="M5103" s="65"/>
      <c r="N5103" s="65"/>
      <c r="O5103" s="65"/>
      <c r="P5103" s="65"/>
    </row>
    <row r="6311" spans="1:6" x14ac:dyDescent="0.25">
      <c r="A6311" s="63"/>
    </row>
    <row r="6318" spans="1:6" x14ac:dyDescent="0.25">
      <c r="F6318" s="64"/>
    </row>
    <row r="6319" spans="1:6" x14ac:dyDescent="0.25">
      <c r="F6319" s="64"/>
    </row>
    <row r="6320" spans="1:6" x14ac:dyDescent="0.25">
      <c r="F6320" s="64"/>
    </row>
    <row r="6321" spans="1:8" x14ac:dyDescent="0.25">
      <c r="F6321" s="64"/>
    </row>
    <row r="6322" spans="1:8" x14ac:dyDescent="0.25">
      <c r="F6322" s="64"/>
    </row>
    <row r="6323" spans="1:8" x14ac:dyDescent="0.25">
      <c r="F6323" s="64"/>
    </row>
    <row r="6324" spans="1:8" x14ac:dyDescent="0.25">
      <c r="F6324" s="64"/>
    </row>
    <row r="6325" spans="1:8" x14ac:dyDescent="0.25">
      <c r="F6325" s="64"/>
    </row>
    <row r="6326" spans="1:8" x14ac:dyDescent="0.25">
      <c r="A6326" s="68"/>
      <c r="B6326" s="68"/>
      <c r="C6326" s="68"/>
      <c r="D6326" s="69"/>
      <c r="E6326" s="69"/>
      <c r="F6326" s="67"/>
      <c r="G6326" s="67"/>
      <c r="H6326" s="71"/>
    </row>
    <row r="6327" spans="1:8" x14ac:dyDescent="0.25">
      <c r="A6327" s="68"/>
      <c r="B6327" s="68"/>
      <c r="C6327" s="68"/>
      <c r="D6327" s="69"/>
      <c r="E6327" s="69"/>
      <c r="F6327" s="67"/>
      <c r="G6327" s="67"/>
      <c r="H6327" s="67"/>
    </row>
    <row r="6328" spans="1:8" x14ac:dyDescent="0.25">
      <c r="A6328" s="66"/>
      <c r="B6328" s="66"/>
      <c r="C6328" s="66"/>
      <c r="D6328" s="66"/>
      <c r="E6328" s="66"/>
      <c r="F6328" s="65"/>
      <c r="G6328" s="65"/>
      <c r="H6328" s="65"/>
    </row>
    <row r="6329" spans="1:8" x14ac:dyDescent="0.25">
      <c r="A6329" s="65"/>
      <c r="B6329" s="65"/>
      <c r="C6329" s="65"/>
      <c r="D6329" s="65"/>
      <c r="E6329" s="65"/>
      <c r="F6329" s="65"/>
      <c r="G6329" s="65"/>
      <c r="H6329" s="65"/>
    </row>
    <row r="6330" spans="1:8" x14ac:dyDescent="0.25">
      <c r="A6330" s="65"/>
      <c r="B6330" s="65"/>
      <c r="C6330" s="65"/>
      <c r="D6330" s="65"/>
      <c r="E6330" s="65"/>
      <c r="F6330" s="65"/>
      <c r="G6330" s="65"/>
      <c r="H6330" s="65"/>
    </row>
    <row r="6331" spans="1:8" x14ac:dyDescent="0.25">
      <c r="A6331" s="65"/>
      <c r="B6331" s="65"/>
      <c r="C6331" s="65"/>
      <c r="D6331" s="65"/>
      <c r="E6331" s="65"/>
      <c r="F6331" s="65"/>
      <c r="G6331" s="65"/>
      <c r="H6331" s="65"/>
    </row>
    <row r="6332" spans="1:8" x14ac:dyDescent="0.25">
      <c r="A6332" s="65"/>
      <c r="B6332" s="65"/>
      <c r="C6332" s="65"/>
      <c r="D6332" s="65"/>
      <c r="E6332" s="65"/>
      <c r="F6332" s="65"/>
      <c r="G6332" s="65"/>
      <c r="H6332" s="65"/>
    </row>
    <row r="6333" spans="1:8" x14ac:dyDescent="0.25">
      <c r="A6333" s="65"/>
      <c r="B6333" s="65"/>
      <c r="C6333" s="65"/>
      <c r="D6333" s="65"/>
      <c r="E6333" s="65"/>
      <c r="F6333" s="65"/>
      <c r="G6333" s="65"/>
      <c r="H6333" s="65"/>
    </row>
    <row r="6334" spans="1:8" x14ac:dyDescent="0.25">
      <c r="A6334" s="65"/>
      <c r="B6334" s="65"/>
      <c r="C6334" s="65"/>
      <c r="D6334" s="65"/>
      <c r="E6334" s="65"/>
      <c r="F6334" s="65"/>
      <c r="G6334" s="65"/>
      <c r="H6334" s="65"/>
    </row>
    <row r="6335" spans="1:8" x14ac:dyDescent="0.25">
      <c r="A6335" s="65"/>
      <c r="B6335" s="65"/>
      <c r="C6335" s="65"/>
      <c r="D6335" s="65"/>
      <c r="E6335" s="65"/>
      <c r="F6335" s="65"/>
      <c r="G6335" s="65"/>
      <c r="H6335" s="65"/>
    </row>
    <row r="6336" spans="1:8" x14ac:dyDescent="0.25">
      <c r="A6336" s="65"/>
      <c r="B6336" s="65"/>
      <c r="C6336" s="65"/>
      <c r="D6336" s="65"/>
      <c r="E6336" s="65"/>
      <c r="F6336" s="65"/>
      <c r="G6336" s="65"/>
      <c r="H6336" s="65"/>
    </row>
    <row r="6337" spans="1:8" x14ac:dyDescent="0.25">
      <c r="A6337" s="65"/>
      <c r="B6337" s="65"/>
      <c r="C6337" s="65"/>
      <c r="D6337" s="65"/>
      <c r="E6337" s="65"/>
      <c r="F6337" s="65"/>
      <c r="G6337" s="65"/>
      <c r="H6337" s="65"/>
    </row>
    <row r="6338" spans="1:8" x14ac:dyDescent="0.25">
      <c r="A6338" s="65"/>
      <c r="B6338" s="65"/>
      <c r="C6338" s="65"/>
      <c r="D6338" s="65"/>
      <c r="E6338" s="65"/>
      <c r="F6338" s="65"/>
      <c r="G6338" s="65"/>
      <c r="H6338" s="65"/>
    </row>
    <row r="6339" spans="1:8" x14ac:dyDescent="0.25">
      <c r="A6339" s="65"/>
      <c r="B6339" s="65"/>
      <c r="C6339" s="65"/>
      <c r="D6339" s="65"/>
      <c r="E6339" s="65"/>
      <c r="F6339" s="65"/>
      <c r="G6339" s="65"/>
      <c r="H6339" s="65"/>
    </row>
    <row r="6340" spans="1:8" x14ac:dyDescent="0.25">
      <c r="A6340" s="65"/>
      <c r="B6340" s="65"/>
      <c r="C6340" s="65"/>
      <c r="D6340" s="65"/>
      <c r="E6340" s="65"/>
      <c r="F6340" s="65"/>
      <c r="G6340" s="65"/>
      <c r="H6340" s="65"/>
    </row>
    <row r="6341" spans="1:8" x14ac:dyDescent="0.25">
      <c r="A6341" s="65"/>
      <c r="B6341" s="65"/>
      <c r="C6341" s="65"/>
      <c r="D6341" s="65"/>
      <c r="E6341" s="65"/>
      <c r="F6341" s="65"/>
      <c r="G6341" s="65"/>
      <c r="H6341" s="65"/>
    </row>
    <row r="6342" spans="1:8" x14ac:dyDescent="0.25">
      <c r="A6342" s="65"/>
      <c r="B6342" s="65"/>
      <c r="C6342" s="65"/>
      <c r="D6342" s="65"/>
      <c r="E6342" s="65"/>
      <c r="F6342" s="65"/>
      <c r="G6342" s="65"/>
      <c r="H6342" s="65"/>
    </row>
    <row r="6343" spans="1:8" x14ac:dyDescent="0.25">
      <c r="A6343" s="65"/>
      <c r="B6343" s="65"/>
      <c r="C6343" s="65"/>
      <c r="D6343" s="65"/>
      <c r="E6343" s="65"/>
      <c r="F6343" s="65"/>
      <c r="G6343" s="65"/>
      <c r="H6343" s="65"/>
    </row>
    <row r="6344" spans="1:8" x14ac:dyDescent="0.25">
      <c r="A6344" s="65"/>
      <c r="B6344" s="65"/>
      <c r="C6344" s="65"/>
      <c r="D6344" s="65"/>
      <c r="E6344" s="65"/>
      <c r="F6344" s="65"/>
      <c r="G6344" s="65"/>
      <c r="H6344" s="65"/>
    </row>
    <row r="6345" spans="1:8" x14ac:dyDescent="0.25">
      <c r="A6345" s="65"/>
      <c r="B6345" s="65"/>
      <c r="C6345" s="65"/>
      <c r="D6345" s="65"/>
      <c r="E6345" s="65"/>
      <c r="F6345" s="65"/>
      <c r="G6345" s="65"/>
      <c r="H6345" s="65"/>
    </row>
    <row r="6346" spans="1:8" x14ac:dyDescent="0.25">
      <c r="A6346" s="65"/>
      <c r="B6346" s="65"/>
      <c r="C6346" s="65"/>
      <c r="D6346" s="65"/>
      <c r="E6346" s="65"/>
      <c r="F6346" s="65"/>
      <c r="G6346" s="65"/>
      <c r="H6346" s="65"/>
    </row>
    <row r="6347" spans="1:8" x14ac:dyDescent="0.25">
      <c r="A6347" s="65"/>
      <c r="B6347" s="65"/>
      <c r="C6347" s="65"/>
      <c r="D6347" s="65"/>
      <c r="E6347" s="65"/>
      <c r="F6347" s="65"/>
      <c r="G6347" s="65"/>
      <c r="H6347" s="65"/>
    </row>
    <row r="6348" spans="1:8" x14ac:dyDescent="0.25">
      <c r="A6348" s="65"/>
      <c r="B6348" s="65"/>
      <c r="C6348" s="65"/>
      <c r="D6348" s="65"/>
      <c r="E6348" s="65"/>
      <c r="F6348" s="65"/>
      <c r="G6348" s="65"/>
      <c r="H6348" s="65"/>
    </row>
    <row r="6349" spans="1:8" x14ac:dyDescent="0.25">
      <c r="A6349" s="65"/>
      <c r="B6349" s="65"/>
      <c r="C6349" s="65"/>
      <c r="D6349" s="65"/>
      <c r="E6349" s="65"/>
      <c r="F6349" s="65"/>
      <c r="G6349" s="65"/>
      <c r="H6349" s="65"/>
    </row>
    <row r="6350" spans="1:8" x14ac:dyDescent="0.25">
      <c r="A6350" s="65"/>
      <c r="B6350" s="65"/>
      <c r="C6350" s="65"/>
      <c r="D6350" s="65"/>
      <c r="E6350" s="65"/>
      <c r="F6350" s="65"/>
      <c r="G6350" s="65"/>
      <c r="H6350" s="65"/>
    </row>
    <row r="6351" spans="1:8" x14ac:dyDescent="0.25">
      <c r="A6351" s="65"/>
      <c r="B6351" s="65"/>
      <c r="C6351" s="65"/>
      <c r="D6351" s="65"/>
      <c r="E6351" s="65"/>
      <c r="F6351" s="65"/>
      <c r="G6351" s="65"/>
      <c r="H6351" s="65"/>
    </row>
    <row r="6352" spans="1:8" x14ac:dyDescent="0.25">
      <c r="A6352" s="65"/>
      <c r="B6352" s="65"/>
      <c r="C6352" s="65"/>
      <c r="D6352" s="65"/>
      <c r="E6352" s="65"/>
      <c r="F6352" s="65"/>
      <c r="G6352" s="65"/>
      <c r="H6352" s="65"/>
    </row>
    <row r="6353" spans="1:8" x14ac:dyDescent="0.25">
      <c r="A6353" s="65"/>
      <c r="B6353" s="65"/>
      <c r="C6353" s="65"/>
      <c r="D6353" s="65"/>
      <c r="E6353" s="65"/>
      <c r="F6353" s="65"/>
      <c r="G6353" s="65"/>
      <c r="H6353" s="65"/>
    </row>
    <row r="6354" spans="1:8" x14ac:dyDescent="0.25">
      <c r="A6354" s="65"/>
      <c r="B6354" s="65"/>
      <c r="C6354" s="65"/>
      <c r="D6354" s="65"/>
      <c r="E6354" s="65"/>
      <c r="F6354" s="65"/>
      <c r="G6354" s="65"/>
      <c r="H6354" s="65"/>
    </row>
    <row r="6355" spans="1:8" x14ac:dyDescent="0.25">
      <c r="A6355" s="65"/>
      <c r="B6355" s="65"/>
      <c r="C6355" s="65"/>
      <c r="D6355" s="65"/>
      <c r="E6355" s="65"/>
      <c r="F6355" s="65"/>
      <c r="G6355" s="65"/>
      <c r="H6355" s="65"/>
    </row>
    <row r="6356" spans="1:8" x14ac:dyDescent="0.25">
      <c r="A6356" s="65"/>
      <c r="B6356" s="65"/>
      <c r="C6356" s="65"/>
      <c r="D6356" s="65"/>
      <c r="E6356" s="65"/>
      <c r="F6356" s="65"/>
      <c r="G6356" s="65"/>
      <c r="H6356" s="65"/>
    </row>
    <row r="6357" spans="1:8" x14ac:dyDescent="0.25">
      <c r="A6357" s="65"/>
      <c r="B6357" s="65"/>
      <c r="C6357" s="65"/>
      <c r="D6357" s="65"/>
      <c r="E6357" s="65"/>
      <c r="F6357" s="65"/>
      <c r="G6357" s="65"/>
      <c r="H6357" s="65"/>
    </row>
    <row r="6358" spans="1:8" x14ac:dyDescent="0.25">
      <c r="A6358" s="65"/>
      <c r="B6358" s="65"/>
      <c r="C6358" s="65"/>
      <c r="D6358" s="65"/>
      <c r="E6358" s="65"/>
      <c r="F6358" s="65"/>
      <c r="G6358" s="65"/>
      <c r="H6358" s="65"/>
    </row>
    <row r="6359" spans="1:8" x14ac:dyDescent="0.25">
      <c r="A6359" s="65"/>
      <c r="B6359" s="65"/>
      <c r="C6359" s="65"/>
      <c r="D6359" s="65"/>
      <c r="E6359" s="65"/>
      <c r="F6359" s="65"/>
      <c r="G6359" s="65"/>
      <c r="H6359" s="65"/>
    </row>
    <row r="6360" spans="1:8" x14ac:dyDescent="0.25">
      <c r="A6360" s="65"/>
      <c r="B6360" s="65"/>
      <c r="C6360" s="65"/>
      <c r="D6360" s="65"/>
      <c r="E6360" s="65"/>
      <c r="F6360" s="65"/>
      <c r="G6360" s="65"/>
      <c r="H6360" s="65"/>
    </row>
    <row r="6361" spans="1:8" x14ac:dyDescent="0.25">
      <c r="A6361" s="65"/>
      <c r="B6361" s="65"/>
      <c r="C6361" s="65"/>
      <c r="D6361" s="65"/>
      <c r="E6361" s="65"/>
      <c r="F6361" s="65"/>
      <c r="G6361" s="65"/>
      <c r="H6361" s="65"/>
    </row>
    <row r="6362" spans="1:8" x14ac:dyDescent="0.25">
      <c r="A6362" s="65"/>
      <c r="B6362" s="65"/>
      <c r="C6362" s="65"/>
      <c r="D6362" s="65"/>
      <c r="E6362" s="65"/>
      <c r="F6362" s="65"/>
      <c r="G6362" s="65"/>
      <c r="H6362" s="65"/>
    </row>
    <row r="6363" spans="1:8" x14ac:dyDescent="0.25">
      <c r="A6363" s="65"/>
      <c r="B6363" s="65"/>
      <c r="C6363" s="65"/>
      <c r="D6363" s="65"/>
      <c r="E6363" s="65"/>
      <c r="F6363" s="65"/>
      <c r="G6363" s="65"/>
      <c r="H6363" s="65"/>
    </row>
    <row r="6364" spans="1:8" x14ac:dyDescent="0.25">
      <c r="A6364" s="65"/>
      <c r="B6364" s="65"/>
      <c r="C6364" s="65"/>
      <c r="D6364" s="65"/>
      <c r="E6364" s="65"/>
      <c r="F6364" s="65"/>
      <c r="G6364" s="65"/>
      <c r="H6364" s="65"/>
    </row>
    <row r="6365" spans="1:8" x14ac:dyDescent="0.25">
      <c r="A6365" s="65"/>
      <c r="B6365" s="65"/>
      <c r="C6365" s="65"/>
      <c r="D6365" s="65"/>
      <c r="E6365" s="65"/>
      <c r="F6365" s="65"/>
      <c r="G6365" s="65"/>
      <c r="H6365" s="65"/>
    </row>
    <row r="6366" spans="1:8" x14ac:dyDescent="0.25">
      <c r="A6366" s="65"/>
      <c r="B6366" s="65"/>
      <c r="C6366" s="65"/>
      <c r="D6366" s="65"/>
      <c r="E6366" s="65"/>
      <c r="F6366" s="65"/>
      <c r="G6366" s="65"/>
      <c r="H6366" s="65"/>
    </row>
    <row r="6367" spans="1:8" x14ac:dyDescent="0.25">
      <c r="A6367" s="65"/>
      <c r="B6367" s="65"/>
      <c r="C6367" s="65"/>
      <c r="D6367" s="65"/>
      <c r="E6367" s="65"/>
      <c r="F6367" s="65"/>
      <c r="G6367" s="65"/>
      <c r="H6367" s="65"/>
    </row>
    <row r="6368" spans="1:8" x14ac:dyDescent="0.25">
      <c r="A6368" s="65"/>
      <c r="B6368" s="65"/>
      <c r="C6368" s="65"/>
      <c r="D6368" s="65"/>
      <c r="E6368" s="65"/>
      <c r="F6368" s="65"/>
      <c r="G6368" s="65"/>
      <c r="H6368" s="65"/>
    </row>
    <row r="6369" spans="1:8" x14ac:dyDescent="0.25">
      <c r="A6369" s="65"/>
      <c r="B6369" s="65"/>
      <c r="C6369" s="65"/>
      <c r="D6369" s="65"/>
      <c r="E6369" s="65"/>
      <c r="F6369" s="65"/>
      <c r="G6369" s="65"/>
      <c r="H6369" s="65"/>
    </row>
    <row r="6370" spans="1:8" x14ac:dyDescent="0.25">
      <c r="A6370" s="65"/>
      <c r="B6370" s="65"/>
      <c r="C6370" s="65"/>
      <c r="D6370" s="65"/>
      <c r="E6370" s="65"/>
      <c r="F6370" s="65"/>
      <c r="G6370" s="65"/>
      <c r="H6370" s="65"/>
    </row>
    <row r="6371" spans="1:8" x14ac:dyDescent="0.25">
      <c r="A6371" s="65"/>
      <c r="B6371" s="65"/>
      <c r="C6371" s="65"/>
      <c r="D6371" s="65"/>
      <c r="E6371" s="65"/>
      <c r="F6371" s="65"/>
      <c r="G6371" s="65"/>
      <c r="H6371" s="65"/>
    </row>
    <row r="6372" spans="1:8" x14ac:dyDescent="0.25">
      <c r="A6372" s="65"/>
      <c r="B6372" s="65"/>
      <c r="C6372" s="65"/>
      <c r="D6372" s="65"/>
      <c r="E6372" s="65"/>
      <c r="F6372" s="65"/>
      <c r="G6372" s="65"/>
      <c r="H6372" s="65"/>
    </row>
    <row r="6373" spans="1:8" x14ac:dyDescent="0.25">
      <c r="A6373" s="65"/>
      <c r="B6373" s="65"/>
      <c r="C6373" s="65"/>
      <c r="D6373" s="65"/>
      <c r="E6373" s="65"/>
      <c r="F6373" s="65"/>
      <c r="G6373" s="65"/>
      <c r="H6373" s="65"/>
    </row>
    <row r="6374" spans="1:8" x14ac:dyDescent="0.25">
      <c r="A6374" s="65"/>
      <c r="B6374" s="65"/>
      <c r="C6374" s="65"/>
      <c r="D6374" s="65"/>
      <c r="E6374" s="65"/>
      <c r="F6374" s="65"/>
      <c r="G6374" s="65"/>
      <c r="H6374" s="65"/>
    </row>
    <row r="6375" spans="1:8" x14ac:dyDescent="0.25">
      <c r="A6375" s="65"/>
      <c r="B6375" s="65"/>
      <c r="C6375" s="65"/>
      <c r="D6375" s="65"/>
      <c r="E6375" s="65"/>
      <c r="F6375" s="65"/>
      <c r="G6375" s="65"/>
      <c r="H6375" s="65"/>
    </row>
    <row r="6376" spans="1:8" x14ac:dyDescent="0.25">
      <c r="A6376" s="65"/>
      <c r="B6376" s="65"/>
      <c r="C6376" s="65"/>
      <c r="D6376" s="65"/>
      <c r="E6376" s="65"/>
      <c r="F6376" s="65"/>
      <c r="G6376" s="65"/>
      <c r="H6376" s="65"/>
    </row>
    <row r="6377" spans="1:8" x14ac:dyDescent="0.25">
      <c r="A6377" s="65"/>
      <c r="B6377" s="65"/>
      <c r="C6377" s="65"/>
      <c r="D6377" s="65"/>
      <c r="E6377" s="65"/>
      <c r="F6377" s="65"/>
      <c r="G6377" s="65"/>
      <c r="H6377" s="65"/>
    </row>
    <row r="6378" spans="1:8" x14ac:dyDescent="0.25">
      <c r="A6378" s="65"/>
      <c r="B6378" s="65"/>
      <c r="C6378" s="65"/>
      <c r="D6378" s="65"/>
      <c r="E6378" s="65"/>
      <c r="F6378" s="65"/>
      <c r="G6378" s="65"/>
      <c r="H6378" s="65"/>
    </row>
    <row r="6530" spans="1:16" x14ac:dyDescent="0.25">
      <c r="A6530" s="66"/>
    </row>
    <row r="6543" spans="1:16" s="66" customFormat="1" x14ac:dyDescent="0.25">
      <c r="D6543" s="70"/>
      <c r="E6543" s="70"/>
      <c r="F6543" s="65"/>
      <c r="G6543" s="65"/>
      <c r="H6543" s="65"/>
      <c r="I6543" s="65"/>
      <c r="J6543" s="65"/>
      <c r="K6543" s="65"/>
      <c r="L6543" s="65"/>
      <c r="M6543" s="65"/>
      <c r="N6543" s="65"/>
      <c r="O6543" s="65"/>
      <c r="P6543" s="65"/>
    </row>
    <row r="6544" spans="1:16" s="66" customFormat="1" x14ac:dyDescent="0.25">
      <c r="D6544" s="70"/>
      <c r="E6544" s="70"/>
      <c r="F6544" s="65"/>
      <c r="G6544" s="65"/>
      <c r="H6544" s="65"/>
      <c r="I6544" s="65"/>
      <c r="J6544" s="65"/>
      <c r="K6544" s="65"/>
      <c r="L6544" s="65"/>
      <c r="M6544" s="65"/>
      <c r="N6544" s="65"/>
      <c r="O6544" s="65"/>
      <c r="P6544" s="65"/>
    </row>
  </sheetData>
  <mergeCells count="4">
    <mergeCell ref="A2:D2"/>
    <mergeCell ref="A3:D3"/>
    <mergeCell ref="F3:I3"/>
    <mergeCell ref="K3:M3"/>
  </mergeCells>
  <conditionalFormatting sqref="A28:A33">
    <cfRule type="duplicateValues" dxfId="16" priority="1"/>
  </conditionalFormatting>
  <printOptions horizontalCentered="1"/>
  <pageMargins left="0.78740157480314965" right="0.78740157480314965" top="1.1811023622047245" bottom="0.78740157480314965" header="0.19685039370078741" footer="0.19685039370078741"/>
  <pageSetup paperSize="9" scale="93" orientation="portrait" r:id="rId1"/>
  <colBreaks count="1" manualBreakCount="1">
    <brk id="4" max="1048575" man="1"/>
  </colBreaks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2D60A-FE3C-4992-BCAC-0289A4095778}">
  <sheetPr codeName="Planilha5">
    <tabColor rgb="FFFF0000"/>
    <pageSetUpPr fitToPage="1"/>
  </sheetPr>
  <dimension ref="A2:G47"/>
  <sheetViews>
    <sheetView showGridLines="0" view="pageBreakPreview" zoomScale="130" zoomScaleNormal="100" zoomScaleSheetLayoutView="130" workbookViewId="0"/>
  </sheetViews>
  <sheetFormatPr defaultColWidth="8.69921875" defaultRowHeight="13.8" x14ac:dyDescent="0.25"/>
  <cols>
    <col min="1" max="1" width="11.19921875" style="28" customWidth="1"/>
    <col min="2" max="2" width="32.796875" style="28" customWidth="1"/>
    <col min="3" max="3" width="13.69921875" style="28" customWidth="1"/>
    <col min="4" max="4" width="14.796875" style="28" customWidth="1"/>
    <col min="5" max="5" width="2.59765625" style="28" customWidth="1"/>
    <col min="6" max="6" width="10.3984375" style="28" bestFit="1" customWidth="1"/>
    <col min="7" max="7" width="15.59765625" style="6" bestFit="1" customWidth="1"/>
    <col min="8" max="16384" width="8.69921875" style="28"/>
  </cols>
  <sheetData>
    <row r="2" spans="1:7" x14ac:dyDescent="0.25">
      <c r="A2" s="112" t="s">
        <v>193</v>
      </c>
      <c r="B2" s="112"/>
      <c r="C2" s="112"/>
      <c r="D2" s="112"/>
      <c r="F2" s="28" t="s">
        <v>129</v>
      </c>
      <c r="G2" s="6" t="s">
        <v>130</v>
      </c>
    </row>
    <row r="3" spans="1:7" x14ac:dyDescent="0.25">
      <c r="A3" s="113" t="s">
        <v>167</v>
      </c>
      <c r="B3" s="114"/>
      <c r="C3" s="114"/>
      <c r="D3" s="114"/>
      <c r="F3" s="28" t="s">
        <v>128</v>
      </c>
      <c r="G3" s="6" t="str">
        <f>IF(ISNUMBER(FIND("NÃO DESONERADO", UPPER(SINTÉTICO!$I$6))), "Não", "Sim")</f>
        <v>Sim</v>
      </c>
    </row>
    <row r="4" spans="1:7" x14ac:dyDescent="0.25">
      <c r="A4" s="117" t="s">
        <v>61</v>
      </c>
      <c r="B4" s="117" t="s">
        <v>17</v>
      </c>
      <c r="C4" s="115" t="s">
        <v>168</v>
      </c>
      <c r="D4" s="116"/>
      <c r="F4" s="28" t="s">
        <v>131</v>
      </c>
      <c r="G4" s="6" t="str">
        <f>UPPER(G2)&amp;" "&amp;IF(G3="Sim","DES","N DES")</f>
        <v>BAHIA DES</v>
      </c>
    </row>
    <row r="5" spans="1:7" ht="27.6" x14ac:dyDescent="0.25">
      <c r="A5" s="118"/>
      <c r="B5" s="118"/>
      <c r="C5" s="119" t="s">
        <v>169</v>
      </c>
      <c r="D5" s="119" t="s">
        <v>170</v>
      </c>
    </row>
    <row r="6" spans="1:7" x14ac:dyDescent="0.25">
      <c r="A6" s="113" t="s">
        <v>171</v>
      </c>
      <c r="B6" s="114"/>
      <c r="C6" s="114"/>
      <c r="D6" s="114"/>
      <c r="G6" s="29"/>
    </row>
    <row r="7" spans="1:7" x14ac:dyDescent="0.25">
      <c r="A7" s="87" t="s">
        <v>62</v>
      </c>
      <c r="B7" s="88" t="s">
        <v>63</v>
      </c>
      <c r="C7" s="89">
        <v>0.2</v>
      </c>
      <c r="D7" s="89">
        <v>0.2</v>
      </c>
      <c r="G7" s="30"/>
    </row>
    <row r="8" spans="1:7" x14ac:dyDescent="0.25">
      <c r="A8" s="90" t="s">
        <v>64</v>
      </c>
      <c r="B8" s="91" t="s">
        <v>65</v>
      </c>
      <c r="C8" s="92">
        <v>1.4999999999999999E-2</v>
      </c>
      <c r="D8" s="93">
        <v>1.4999999999999999E-2</v>
      </c>
    </row>
    <row r="9" spans="1:7" x14ac:dyDescent="0.25">
      <c r="A9" s="87" t="s">
        <v>66</v>
      </c>
      <c r="B9" s="88" t="s">
        <v>67</v>
      </c>
      <c r="C9" s="89">
        <v>0.01</v>
      </c>
      <c r="D9" s="94">
        <v>0.01</v>
      </c>
    </row>
    <row r="10" spans="1:7" x14ac:dyDescent="0.25">
      <c r="A10" s="90" t="s">
        <v>68</v>
      </c>
      <c r="B10" s="91" t="s">
        <v>69</v>
      </c>
      <c r="C10" s="93">
        <v>2E-3</v>
      </c>
      <c r="D10" s="95">
        <v>2E-3</v>
      </c>
    </row>
    <row r="11" spans="1:7" x14ac:dyDescent="0.25">
      <c r="A11" s="87" t="s">
        <v>70</v>
      </c>
      <c r="B11" s="88" t="s">
        <v>71</v>
      </c>
      <c r="C11" s="94">
        <v>6.0000000000000001E-3</v>
      </c>
      <c r="D11" s="96">
        <v>6.0000000000000001E-3</v>
      </c>
    </row>
    <row r="12" spans="1:7" x14ac:dyDescent="0.25">
      <c r="A12" s="90" t="s">
        <v>72</v>
      </c>
      <c r="B12" s="97" t="s">
        <v>172</v>
      </c>
      <c r="C12" s="93">
        <v>2.5000000000000001E-2</v>
      </c>
      <c r="D12" s="95">
        <v>2.5000000000000001E-2</v>
      </c>
    </row>
    <row r="13" spans="1:7" x14ac:dyDescent="0.25">
      <c r="A13" s="87" t="s">
        <v>73</v>
      </c>
      <c r="B13" s="98" t="s">
        <v>173</v>
      </c>
      <c r="C13" s="89">
        <v>0.03</v>
      </c>
      <c r="D13" s="94">
        <v>0.03</v>
      </c>
    </row>
    <row r="14" spans="1:7" x14ac:dyDescent="0.25">
      <c r="A14" s="90" t="s">
        <v>74</v>
      </c>
      <c r="B14" s="91" t="s">
        <v>75</v>
      </c>
      <c r="C14" s="93">
        <v>0.08</v>
      </c>
      <c r="D14" s="95">
        <v>0.08</v>
      </c>
    </row>
    <row r="15" spans="1:7" x14ac:dyDescent="0.25">
      <c r="A15" s="87" t="s">
        <v>76</v>
      </c>
      <c r="B15" s="88" t="s">
        <v>77</v>
      </c>
      <c r="C15" s="89">
        <v>0</v>
      </c>
      <c r="D15" s="94">
        <v>0</v>
      </c>
    </row>
    <row r="16" spans="1:7" x14ac:dyDescent="0.25">
      <c r="A16" s="99" t="s">
        <v>78</v>
      </c>
      <c r="B16" s="100" t="s">
        <v>7</v>
      </c>
      <c r="C16" s="101">
        <v>0.36799999999999999</v>
      </c>
      <c r="D16" s="102">
        <v>0.36799999999999999</v>
      </c>
    </row>
    <row r="17" spans="1:4" x14ac:dyDescent="0.25">
      <c r="A17" s="113" t="s">
        <v>174</v>
      </c>
      <c r="B17" s="114"/>
      <c r="C17" s="114"/>
      <c r="D17" s="114"/>
    </row>
    <row r="18" spans="1:4" x14ac:dyDescent="0.25">
      <c r="A18" s="87" t="s">
        <v>79</v>
      </c>
      <c r="B18" s="98" t="s">
        <v>175</v>
      </c>
      <c r="C18" s="94">
        <v>0.17979999999999999</v>
      </c>
      <c r="D18" s="86" t="s">
        <v>176</v>
      </c>
    </row>
    <row r="19" spans="1:4" x14ac:dyDescent="0.25">
      <c r="A19" s="90" t="s">
        <v>80</v>
      </c>
      <c r="B19" s="103" t="s">
        <v>81</v>
      </c>
      <c r="C19" s="95">
        <v>3.9699999999999999E-2</v>
      </c>
      <c r="D19" s="104" t="s">
        <v>176</v>
      </c>
    </row>
    <row r="20" spans="1:4" x14ac:dyDescent="0.25">
      <c r="A20" s="87" t="s">
        <v>82</v>
      </c>
      <c r="B20" s="105" t="s">
        <v>177</v>
      </c>
      <c r="C20" s="96">
        <v>8.6E-3</v>
      </c>
      <c r="D20" s="96">
        <v>6.4999999999999997E-3</v>
      </c>
    </row>
    <row r="21" spans="1:4" x14ac:dyDescent="0.25">
      <c r="A21" s="90" t="s">
        <v>83</v>
      </c>
      <c r="B21" s="106" t="s">
        <v>178</v>
      </c>
      <c r="C21" s="95">
        <v>0.11070000000000001</v>
      </c>
      <c r="D21" s="95">
        <v>8.3299999999999999E-2</v>
      </c>
    </row>
    <row r="22" spans="1:4" x14ac:dyDescent="0.25">
      <c r="A22" s="87" t="s">
        <v>84</v>
      </c>
      <c r="B22" s="105" t="s">
        <v>179</v>
      </c>
      <c r="C22" s="96">
        <v>6.9999999999999999E-4</v>
      </c>
      <c r="D22" s="96">
        <v>5.0000000000000001E-4</v>
      </c>
    </row>
    <row r="23" spans="1:4" x14ac:dyDescent="0.25">
      <c r="A23" s="90" t="s">
        <v>85</v>
      </c>
      <c r="B23" s="106" t="s">
        <v>180</v>
      </c>
      <c r="C23" s="95">
        <v>7.4000000000000003E-3</v>
      </c>
      <c r="D23" s="95">
        <v>5.5999999999999999E-3</v>
      </c>
    </row>
    <row r="24" spans="1:4" x14ac:dyDescent="0.25">
      <c r="A24" s="87" t="s">
        <v>86</v>
      </c>
      <c r="B24" s="105" t="s">
        <v>181</v>
      </c>
      <c r="C24" s="96">
        <v>2.1399999999999999E-2</v>
      </c>
      <c r="D24" s="86" t="s">
        <v>176</v>
      </c>
    </row>
    <row r="25" spans="1:4" x14ac:dyDescent="0.25">
      <c r="A25" s="90" t="s">
        <v>87</v>
      </c>
      <c r="B25" s="106" t="s">
        <v>182</v>
      </c>
      <c r="C25" s="95">
        <v>1E-3</v>
      </c>
      <c r="D25" s="95">
        <v>6.9999999999999999E-4</v>
      </c>
    </row>
    <row r="26" spans="1:4" x14ac:dyDescent="0.25">
      <c r="A26" s="87" t="s">
        <v>88</v>
      </c>
      <c r="B26" s="105" t="s">
        <v>183</v>
      </c>
      <c r="C26" s="96">
        <v>0.1192</v>
      </c>
      <c r="D26" s="96">
        <v>8.9700000000000002E-2</v>
      </c>
    </row>
    <row r="27" spans="1:4" x14ac:dyDescent="0.25">
      <c r="A27" s="90" t="s">
        <v>89</v>
      </c>
      <c r="B27" s="106" t="s">
        <v>184</v>
      </c>
      <c r="C27" s="95">
        <v>2.9999999999999997E-4</v>
      </c>
      <c r="D27" s="95">
        <v>2.9999999999999997E-4</v>
      </c>
    </row>
    <row r="28" spans="1:4" x14ac:dyDescent="0.25">
      <c r="A28" s="107" t="s">
        <v>90</v>
      </c>
      <c r="B28" s="107" t="s">
        <v>7</v>
      </c>
      <c r="C28" s="108">
        <v>0.48880000000000001</v>
      </c>
      <c r="D28" s="108">
        <v>0.18659999999999999</v>
      </c>
    </row>
    <row r="29" spans="1:4" x14ac:dyDescent="0.25">
      <c r="A29" s="113" t="s">
        <v>185</v>
      </c>
      <c r="B29" s="114"/>
      <c r="C29" s="114"/>
      <c r="D29" s="114"/>
    </row>
    <row r="30" spans="1:4" x14ac:dyDescent="0.25">
      <c r="A30" s="87" t="s">
        <v>91</v>
      </c>
      <c r="B30" s="105" t="s">
        <v>186</v>
      </c>
      <c r="C30" s="96">
        <v>5.4899999999999997E-2</v>
      </c>
      <c r="D30" s="96">
        <v>4.1300000000000003E-2</v>
      </c>
    </row>
    <row r="31" spans="1:4" x14ac:dyDescent="0.25">
      <c r="A31" s="90" t="s">
        <v>92</v>
      </c>
      <c r="B31" s="106" t="s">
        <v>187</v>
      </c>
      <c r="C31" s="95">
        <v>1.2999999999999999E-3</v>
      </c>
      <c r="D31" s="95">
        <v>1E-3</v>
      </c>
    </row>
    <row r="32" spans="1:4" x14ac:dyDescent="0.25">
      <c r="A32" s="87" t="s">
        <v>93</v>
      </c>
      <c r="B32" s="105" t="s">
        <v>188</v>
      </c>
      <c r="C32" s="96">
        <v>2.3599999999999999E-2</v>
      </c>
      <c r="D32" s="96">
        <v>1.77E-2</v>
      </c>
    </row>
    <row r="33" spans="1:4" x14ac:dyDescent="0.25">
      <c r="A33" s="90" t="s">
        <v>94</v>
      </c>
      <c r="B33" s="106" t="s">
        <v>189</v>
      </c>
      <c r="C33" s="95">
        <v>2.9700000000000001E-2</v>
      </c>
      <c r="D33" s="95">
        <v>2.24E-2</v>
      </c>
    </row>
    <row r="34" spans="1:4" x14ac:dyDescent="0.25">
      <c r="A34" s="87" t="s">
        <v>95</v>
      </c>
      <c r="B34" s="105" t="s">
        <v>190</v>
      </c>
      <c r="C34" s="96">
        <v>4.5999999999999999E-3</v>
      </c>
      <c r="D34" s="96">
        <v>3.5000000000000001E-3</v>
      </c>
    </row>
    <row r="35" spans="1:4" x14ac:dyDescent="0.25">
      <c r="A35" s="99" t="s">
        <v>32</v>
      </c>
      <c r="B35" s="99" t="s">
        <v>7</v>
      </c>
      <c r="C35" s="102">
        <v>0.11409999999999999</v>
      </c>
      <c r="D35" s="102">
        <v>8.5900000000000004E-2</v>
      </c>
    </row>
    <row r="36" spans="1:4" x14ac:dyDescent="0.25">
      <c r="A36" s="110" t="s">
        <v>191</v>
      </c>
      <c r="B36" s="111"/>
      <c r="C36" s="111"/>
      <c r="D36" s="111"/>
    </row>
    <row r="37" spans="1:4" ht="41.4" x14ac:dyDescent="0.25">
      <c r="A37" s="31" t="s">
        <v>96</v>
      </c>
      <c r="B37" s="109" t="s">
        <v>195</v>
      </c>
      <c r="C37" s="34">
        <v>0.1799</v>
      </c>
      <c r="D37" s="34">
        <v>6.8699999999999997E-2</v>
      </c>
    </row>
    <row r="38" spans="1:4" ht="41.4" x14ac:dyDescent="0.25">
      <c r="A38" s="32" t="s">
        <v>97</v>
      </c>
      <c r="B38" s="103" t="s">
        <v>194</v>
      </c>
      <c r="C38" s="33">
        <v>4.8999999999999998E-3</v>
      </c>
      <c r="D38" s="33">
        <v>3.7000000000000002E-3</v>
      </c>
    </row>
    <row r="39" spans="1:4" x14ac:dyDescent="0.25">
      <c r="A39" s="107" t="s">
        <v>98</v>
      </c>
      <c r="B39" s="107" t="s">
        <v>7</v>
      </c>
      <c r="C39" s="108">
        <v>0.18479999999999999</v>
      </c>
      <c r="D39" s="108">
        <v>7.2400000000000006E-2</v>
      </c>
    </row>
    <row r="40" spans="1:4" x14ac:dyDescent="0.25">
      <c r="A40" s="120" t="s">
        <v>192</v>
      </c>
      <c r="B40" s="121"/>
      <c r="C40" s="122">
        <v>1.1556999999999999</v>
      </c>
      <c r="D40" s="122">
        <v>0.71289999999999998</v>
      </c>
    </row>
    <row r="42" spans="1:4" x14ac:dyDescent="0.25">
      <c r="A42" s="5" t="str">
        <f>LOCALEDATA</f>
        <v>Morro do Chapéu/BA, 15 de agosto de 2025.</v>
      </c>
      <c r="B42" s="4"/>
    </row>
    <row r="43" spans="1:4" x14ac:dyDescent="0.25">
      <c r="A43" s="3"/>
      <c r="B43" s="3"/>
    </row>
    <row r="44" spans="1:4" x14ac:dyDescent="0.25">
      <c r="A44" s="2"/>
      <c r="B44" s="2"/>
    </row>
    <row r="45" spans="1:4" x14ac:dyDescent="0.25">
      <c r="A45" s="2"/>
      <c r="B45" s="2"/>
    </row>
    <row r="46" spans="1:4" x14ac:dyDescent="0.25">
      <c r="A46" s="2"/>
      <c r="B46" s="2"/>
    </row>
    <row r="47" spans="1:4" x14ac:dyDescent="0.25">
      <c r="A47" s="2"/>
      <c r="B47" s="2"/>
    </row>
  </sheetData>
  <conditionalFormatting sqref="A42:A47">
    <cfRule type="duplicateValues" dxfId="15" priority="1"/>
  </conditionalFormatting>
  <dataValidations count="2">
    <dataValidation type="list" allowBlank="1" showInputMessage="1" showErrorMessage="1" sqref="G3" xr:uid="{F5DC414C-316A-4CB0-8416-3F090A98CF89}">
      <formula1>"Sim,Não"</formula1>
    </dataValidation>
    <dataValidation type="list" allowBlank="1" showInputMessage="1" showErrorMessage="1" sqref="G2" xr:uid="{6AB3AED3-E3EF-4419-AB85-A226F509B666}">
      <formula1>LISTA_ESTADOS</formula1>
    </dataValidation>
  </dataValidations>
  <printOptions horizontalCentered="1"/>
  <pageMargins left="0.78740157480314965" right="0.78740157480314965" top="1.1811023622047245" bottom="0.78740157480314965" header="0.19685039370078741" footer="0.19685039370078741"/>
  <pageSetup paperSize="9" scale="89" orientation="portrait" r:id="rId1"/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D3ED3-91FB-4C5E-BB5B-D065C1F9B01D}">
  <sheetPr codeName="Planilha6">
    <tabColor rgb="FFFF0000"/>
    <pageSetUpPr fitToPage="1"/>
  </sheetPr>
  <dimension ref="A1:K8"/>
  <sheetViews>
    <sheetView showGridLines="0" showOutlineSymbols="0" showWhiteSpace="0" view="pageBreakPreview" zoomScale="85" zoomScaleNormal="85" zoomScaleSheetLayoutView="85" workbookViewId="0">
      <selection activeCell="J7" sqref="J7"/>
    </sheetView>
  </sheetViews>
  <sheetFormatPr defaultColWidth="8.69921875" defaultRowHeight="13.8" x14ac:dyDescent="0.25"/>
  <cols>
    <col min="1" max="1" width="11.59765625" style="151" customWidth="1"/>
    <col min="2" max="2" width="12.09765625" style="151" bestFit="1" customWidth="1"/>
    <col min="3" max="3" width="6.59765625" style="151" bestFit="1" customWidth="1"/>
    <col min="4" max="4" width="65.59765625" style="151" customWidth="1"/>
    <col min="5" max="5" width="11.09765625" style="151" bestFit="1" customWidth="1"/>
    <col min="6" max="6" width="6.796875" style="151" bestFit="1" customWidth="1"/>
    <col min="7" max="7" width="6.19921875" style="151" bestFit="1" customWidth="1"/>
    <col min="8" max="8" width="11.19921875" style="151" bestFit="1" customWidth="1"/>
    <col min="9" max="9" width="10.3984375" style="151" bestFit="1" customWidth="1"/>
    <col min="10" max="10" width="7.69921875" style="151" bestFit="1" customWidth="1"/>
    <col min="11" max="11" width="2.69921875" style="151" customWidth="1"/>
    <col min="12" max="16384" width="8.69921875" style="151"/>
  </cols>
  <sheetData>
    <row r="1" spans="1:11" ht="27.6" x14ac:dyDescent="0.25">
      <c r="G1" s="125" t="s">
        <v>133</v>
      </c>
      <c r="H1" s="125"/>
      <c r="I1" s="125">
        <f ca="1">COUNTIFS(INDIRECT("$I$7"):I6443,0)</f>
        <v>0</v>
      </c>
      <c r="J1" s="125">
        <f ca="1">COUNTIFS(INDIRECT("$J$7"):J6444,0)</f>
        <v>0</v>
      </c>
    </row>
    <row r="2" spans="1:11" x14ac:dyDescent="0.25">
      <c r="G2" s="125" t="s">
        <v>134</v>
      </c>
      <c r="H2" s="125"/>
      <c r="I2" s="125" cm="1">
        <f t="array" aca="1" ref="I2" ca="1">SUM(IF(ISERROR(INDIRECT("$I$7"):I6444),1,0))</f>
        <v>0</v>
      </c>
      <c r="J2" s="125" cm="1">
        <f t="array" aca="1" ref="J2" ca="1">SUM(IF(ISERROR(INDIRECT("$J$7"):J6444),1,0))</f>
        <v>0</v>
      </c>
    </row>
    <row r="3" spans="1:11" x14ac:dyDescent="0.25">
      <c r="A3" s="145"/>
      <c r="B3" s="145"/>
      <c r="C3" s="146"/>
      <c r="D3" s="146"/>
      <c r="E3" s="146"/>
      <c r="F3" s="146"/>
      <c r="G3" s="146"/>
      <c r="H3" s="146"/>
      <c r="I3" s="146"/>
      <c r="J3" s="146"/>
    </row>
    <row r="4" spans="1:11" x14ac:dyDescent="0.25">
      <c r="A4" s="147" t="s">
        <v>122</v>
      </c>
      <c r="B4" s="152"/>
      <c r="C4" s="152"/>
      <c r="D4" s="152"/>
      <c r="E4" s="152"/>
      <c r="F4" s="152"/>
      <c r="G4" s="152"/>
      <c r="H4" s="152"/>
      <c r="I4" s="152"/>
      <c r="J4" s="152"/>
    </row>
    <row r="5" spans="1:11" x14ac:dyDescent="0.25">
      <c r="A5" s="147" t="s">
        <v>121</v>
      </c>
      <c r="B5" s="152"/>
      <c r="C5" s="152"/>
      <c r="D5" s="152"/>
      <c r="E5" s="152"/>
      <c r="F5" s="152"/>
      <c r="G5" s="152"/>
      <c r="H5" s="152"/>
      <c r="I5" s="152"/>
      <c r="J5" s="152"/>
    </row>
    <row r="6" spans="1:11" x14ac:dyDescent="0.25">
      <c r="A6" s="148" t="s">
        <v>162</v>
      </c>
      <c r="B6" s="149" t="s">
        <v>1</v>
      </c>
      <c r="C6" s="148" t="s">
        <v>2</v>
      </c>
      <c r="D6" s="148" t="s">
        <v>3</v>
      </c>
      <c r="E6" s="194" t="s">
        <v>12</v>
      </c>
      <c r="F6" s="194"/>
      <c r="G6" s="150" t="s">
        <v>4</v>
      </c>
      <c r="H6" s="149" t="s">
        <v>5</v>
      </c>
      <c r="I6" s="149" t="s">
        <v>6</v>
      </c>
      <c r="J6" s="149" t="s">
        <v>7</v>
      </c>
      <c r="K6" s="153"/>
    </row>
    <row r="7" spans="1:11" x14ac:dyDescent="0.25">
      <c r="A7" s="161"/>
      <c r="B7" s="162"/>
      <c r="C7" s="162"/>
      <c r="D7" s="162"/>
      <c r="E7" s="162"/>
      <c r="F7" s="162"/>
      <c r="G7" s="162"/>
      <c r="H7" s="162"/>
      <c r="I7" s="162"/>
      <c r="J7" s="162"/>
    </row>
    <row r="8" spans="1:11" x14ac:dyDescent="0.25">
      <c r="A8" s="144" t="str">
        <f>LOCALEDATA</f>
        <v>Morro do Chapéu/BA, 15 de agosto de 2025.</v>
      </c>
    </row>
  </sheetData>
  <autoFilter ref="A5:K6" xr:uid="{056D3ED3-91FB-4C5E-BB5B-D065C1F9B01D}"/>
  <mergeCells count="1">
    <mergeCell ref="E6:F6"/>
  </mergeCells>
  <conditionalFormatting sqref="I1:J2">
    <cfRule type="cellIs" dxfId="14" priority="2" operator="greaterThan">
      <formula>0</formula>
    </cfRule>
  </conditionalFormatting>
  <printOptions horizontalCentered="1"/>
  <pageMargins left="0.78740157480314965" right="0.78740157480314965" top="1.1811023622047245" bottom="0.78740157480314965" header="0.19685039370078741" footer="0.19685039370078741"/>
  <pageSetup paperSize="9" scale="52" fitToHeight="0" orientation="portrait" r:id="rId1"/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D05E8-F099-412F-AEEB-AA066D527CCF}">
  <sheetPr codeName="Planilha7">
    <tabColor rgb="FFFF0000"/>
  </sheetPr>
  <dimension ref="A1:K58"/>
  <sheetViews>
    <sheetView showGridLines="0" view="pageBreakPreview" topLeftCell="A37" zoomScaleNormal="100" zoomScaleSheetLayoutView="100" workbookViewId="0">
      <selection activeCell="B55" sqref="B55:C55"/>
    </sheetView>
  </sheetViews>
  <sheetFormatPr defaultColWidth="9" defaultRowHeight="13.8" x14ac:dyDescent="0.3"/>
  <cols>
    <col min="1" max="1" width="22.19921875" style="156" bestFit="1" customWidth="1"/>
    <col min="2" max="2" width="43.69921875" style="156" bestFit="1" customWidth="1"/>
    <col min="3" max="3" width="10.8984375" style="156" bestFit="1" customWidth="1"/>
    <col min="4" max="4" width="2.59765625" style="156" customWidth="1"/>
    <col min="5" max="5" width="9" style="156"/>
    <col min="6" max="6" width="11.69921875" style="156" bestFit="1" customWidth="1"/>
    <col min="7" max="10" width="9" style="156"/>
    <col min="11" max="11" width="2.59765625" style="156" customWidth="1"/>
    <col min="12" max="16384" width="9" style="156"/>
  </cols>
  <sheetData>
    <row r="1" spans="1:11" x14ac:dyDescent="0.3">
      <c r="A1" s="171"/>
      <c r="B1" s="171"/>
      <c r="C1" s="171"/>
      <c r="D1" s="171"/>
      <c r="E1" s="171"/>
      <c r="F1" s="171"/>
      <c r="G1" s="171"/>
      <c r="H1" s="171"/>
      <c r="I1" s="171"/>
      <c r="J1" s="171"/>
      <c r="K1" s="171"/>
    </row>
    <row r="2" spans="1:11" x14ac:dyDescent="0.3">
      <c r="A2" s="171"/>
      <c r="B2" s="171"/>
      <c r="C2" s="171"/>
      <c r="D2" s="171"/>
      <c r="E2" s="171"/>
      <c r="F2" s="171"/>
      <c r="G2" s="171"/>
      <c r="H2" s="171"/>
      <c r="I2" s="171"/>
      <c r="J2" s="171"/>
      <c r="K2" s="171"/>
    </row>
    <row r="3" spans="1:11" x14ac:dyDescent="0.3">
      <c r="A3" s="171"/>
      <c r="B3" s="171"/>
      <c r="C3" s="171"/>
      <c r="D3" s="171"/>
      <c r="E3" s="171"/>
      <c r="F3" s="171"/>
      <c r="G3" s="171"/>
      <c r="H3" s="171"/>
      <c r="I3" s="171"/>
      <c r="J3" s="171"/>
      <c r="K3" s="171"/>
    </row>
    <row r="4" spans="1:11" x14ac:dyDescent="0.3">
      <c r="A4" s="171"/>
      <c r="B4" s="171"/>
      <c r="C4" s="171"/>
      <c r="D4" s="171"/>
      <c r="E4" s="171"/>
      <c r="F4" s="171"/>
      <c r="G4" s="171"/>
      <c r="H4" s="171"/>
      <c r="I4" s="171"/>
      <c r="J4" s="171"/>
      <c r="K4" s="171"/>
    </row>
    <row r="5" spans="1:11" x14ac:dyDescent="0.3">
      <c r="A5" s="171"/>
      <c r="B5" s="171"/>
      <c r="C5" s="171"/>
      <c r="D5" s="171"/>
      <c r="E5" s="171"/>
      <c r="F5" s="171"/>
      <c r="G5" s="171"/>
      <c r="H5" s="171"/>
      <c r="I5" s="171"/>
      <c r="J5" s="171"/>
      <c r="K5" s="171"/>
    </row>
    <row r="7" spans="1:11" x14ac:dyDescent="0.3">
      <c r="A7" s="154" t="s">
        <v>132</v>
      </c>
      <c r="B7" s="155"/>
      <c r="C7" s="155"/>
    </row>
    <row r="8" spans="1:11" x14ac:dyDescent="0.3">
      <c r="A8" s="158" t="s">
        <v>230</v>
      </c>
      <c r="B8" s="158" t="s">
        <v>231</v>
      </c>
      <c r="C8" s="155"/>
    </row>
    <row r="9" spans="1:11" x14ac:dyDescent="0.3">
      <c r="A9" s="158" t="s">
        <v>227</v>
      </c>
      <c r="B9" s="158" t="s">
        <v>241</v>
      </c>
      <c r="C9" s="155"/>
    </row>
    <row r="10" spans="1:11" x14ac:dyDescent="0.3">
      <c r="A10" s="158" t="s">
        <v>228</v>
      </c>
      <c r="B10" s="159">
        <v>45884</v>
      </c>
    </row>
    <row r="11" spans="1:11" x14ac:dyDescent="0.3">
      <c r="A11" s="158" t="s">
        <v>229</v>
      </c>
      <c r="B11" s="156" t="str">
        <f>_xlfn.XLOOKUP(B9,TbClientes[Cliente],TbClientes[Sede]) &amp; ", " &amp; TEXT(B10,"dd \d\e mmmm \d\e aaaa.")</f>
        <v>Morro do Chapéu/BA, 15 de agosto de 2025.</v>
      </c>
    </row>
    <row r="13" spans="1:11" x14ac:dyDescent="0.3">
      <c r="A13" s="163" t="s">
        <v>226</v>
      </c>
      <c r="B13" s="158" t="s">
        <v>231</v>
      </c>
    </row>
    <row r="14" spans="1:11" x14ac:dyDescent="0.3">
      <c r="A14" s="158" t="s">
        <v>163</v>
      </c>
      <c r="B14" s="158" cm="1">
        <f t="array" ref="B14">LARGE(IF(SINTÉTICO!B:B&lt;&gt;"",ROW(SINTÉTICO!B:B)),1)</f>
        <v>9</v>
      </c>
    </row>
    <row r="15" spans="1:11" x14ac:dyDescent="0.3">
      <c r="A15" s="158" t="s">
        <v>164</v>
      </c>
      <c r="B15" s="158" cm="1">
        <f t="array" aca="1" ref="B15" ca="1">LARGE(IF(CPUs!J:J&lt;&gt;"",ROW(CPUs!J:J)),1)</f>
        <v>6</v>
      </c>
    </row>
    <row r="17" spans="1:1" x14ac:dyDescent="0.3">
      <c r="A17" s="157" t="s">
        <v>135</v>
      </c>
    </row>
    <row r="18" spans="1:1" x14ac:dyDescent="0.3">
      <c r="A18" s="156" t="s">
        <v>136</v>
      </c>
    </row>
    <row r="19" spans="1:1" x14ac:dyDescent="0.3">
      <c r="A19" s="156" t="s">
        <v>137</v>
      </c>
    </row>
    <row r="20" spans="1:1" x14ac:dyDescent="0.3">
      <c r="A20" s="156" t="s">
        <v>138</v>
      </c>
    </row>
    <row r="21" spans="1:1" x14ac:dyDescent="0.3">
      <c r="A21" s="156" t="s">
        <v>139</v>
      </c>
    </row>
    <row r="22" spans="1:1" x14ac:dyDescent="0.3">
      <c r="A22" s="156" t="s">
        <v>130</v>
      </c>
    </row>
    <row r="23" spans="1:1" x14ac:dyDescent="0.3">
      <c r="A23" s="156" t="s">
        <v>140</v>
      </c>
    </row>
    <row r="24" spans="1:1" x14ac:dyDescent="0.3">
      <c r="A24" s="156" t="s">
        <v>141</v>
      </c>
    </row>
    <row r="25" spans="1:1" x14ac:dyDescent="0.3">
      <c r="A25" s="156" t="s">
        <v>142</v>
      </c>
    </row>
    <row r="26" spans="1:1" x14ac:dyDescent="0.3">
      <c r="A26" s="156" t="s">
        <v>143</v>
      </c>
    </row>
    <row r="27" spans="1:1" x14ac:dyDescent="0.3">
      <c r="A27" s="156" t="s">
        <v>144</v>
      </c>
    </row>
    <row r="28" spans="1:1" x14ac:dyDescent="0.3">
      <c r="A28" s="156" t="s">
        <v>145</v>
      </c>
    </row>
    <row r="29" spans="1:1" x14ac:dyDescent="0.3">
      <c r="A29" s="156" t="s">
        <v>146</v>
      </c>
    </row>
    <row r="30" spans="1:1" x14ac:dyDescent="0.3">
      <c r="A30" s="156" t="s">
        <v>147</v>
      </c>
    </row>
    <row r="31" spans="1:1" x14ac:dyDescent="0.3">
      <c r="A31" s="156" t="s">
        <v>148</v>
      </c>
    </row>
    <row r="32" spans="1:1" x14ac:dyDescent="0.3">
      <c r="A32" s="156" t="s">
        <v>149</v>
      </c>
    </row>
    <row r="33" spans="1:3" x14ac:dyDescent="0.3">
      <c r="A33" s="156" t="s">
        <v>150</v>
      </c>
    </row>
    <row r="34" spans="1:3" x14ac:dyDescent="0.3">
      <c r="A34" s="156" t="s">
        <v>151</v>
      </c>
    </row>
    <row r="35" spans="1:3" x14ac:dyDescent="0.3">
      <c r="A35" s="156" t="s">
        <v>152</v>
      </c>
    </row>
    <row r="36" spans="1:3" x14ac:dyDescent="0.3">
      <c r="A36" s="156" t="s">
        <v>153</v>
      </c>
    </row>
    <row r="37" spans="1:3" x14ac:dyDescent="0.3">
      <c r="A37" s="156" t="s">
        <v>154</v>
      </c>
    </row>
    <row r="38" spans="1:3" x14ac:dyDescent="0.3">
      <c r="A38" s="156" t="s">
        <v>155</v>
      </c>
    </row>
    <row r="39" spans="1:3" x14ac:dyDescent="0.3">
      <c r="A39" s="156" t="s">
        <v>156</v>
      </c>
    </row>
    <row r="40" spans="1:3" x14ac:dyDescent="0.3">
      <c r="A40" s="156" t="s">
        <v>157</v>
      </c>
    </row>
    <row r="41" spans="1:3" x14ac:dyDescent="0.3">
      <c r="A41" s="156" t="s">
        <v>158</v>
      </c>
    </row>
    <row r="42" spans="1:3" x14ac:dyDescent="0.3">
      <c r="A42" s="156" t="s">
        <v>159</v>
      </c>
    </row>
    <row r="43" spans="1:3" x14ac:dyDescent="0.3">
      <c r="A43" s="156" t="s">
        <v>160</v>
      </c>
    </row>
    <row r="44" spans="1:3" x14ac:dyDescent="0.3">
      <c r="A44" s="156" t="s">
        <v>161</v>
      </c>
    </row>
    <row r="46" spans="1:3" x14ac:dyDescent="0.3">
      <c r="A46" s="158" t="s">
        <v>227</v>
      </c>
      <c r="B46" s="158" t="s">
        <v>232</v>
      </c>
      <c r="C46" s="158" t="s">
        <v>253</v>
      </c>
    </row>
    <row r="47" spans="1:3" x14ac:dyDescent="0.3">
      <c r="A47" s="160" t="s">
        <v>234</v>
      </c>
      <c r="B47" s="160" t="s">
        <v>243</v>
      </c>
      <c r="C47" s="158" t="s">
        <v>130</v>
      </c>
    </row>
    <row r="48" spans="1:3" x14ac:dyDescent="0.3">
      <c r="A48" s="160" t="s">
        <v>233</v>
      </c>
      <c r="B48" s="160" t="s">
        <v>246</v>
      </c>
      <c r="C48" s="158" t="s">
        <v>130</v>
      </c>
    </row>
    <row r="49" spans="1:3" x14ac:dyDescent="0.3">
      <c r="A49" s="160" t="s">
        <v>240</v>
      </c>
      <c r="B49" s="160" t="s">
        <v>242</v>
      </c>
      <c r="C49" s="158" t="s">
        <v>151</v>
      </c>
    </row>
    <row r="50" spans="1:3" x14ac:dyDescent="0.3">
      <c r="A50" s="160" t="s">
        <v>251</v>
      </c>
      <c r="B50" s="160" t="s">
        <v>252</v>
      </c>
      <c r="C50" s="158" t="s">
        <v>130</v>
      </c>
    </row>
    <row r="51" spans="1:3" x14ac:dyDescent="0.3">
      <c r="A51" s="160" t="s">
        <v>235</v>
      </c>
      <c r="B51" s="160" t="s">
        <v>247</v>
      </c>
      <c r="C51" s="158" t="s">
        <v>130</v>
      </c>
    </row>
    <row r="52" spans="1:3" x14ac:dyDescent="0.3">
      <c r="A52" s="160" t="s">
        <v>236</v>
      </c>
      <c r="B52" s="160" t="s">
        <v>248</v>
      </c>
      <c r="C52" s="158" t="s">
        <v>130</v>
      </c>
    </row>
    <row r="53" spans="1:3" x14ac:dyDescent="0.3">
      <c r="A53" s="160" t="s">
        <v>225</v>
      </c>
      <c r="B53" s="160" t="s">
        <v>245</v>
      </c>
      <c r="C53" s="158" t="s">
        <v>130</v>
      </c>
    </row>
    <row r="54" spans="1:3" x14ac:dyDescent="0.3">
      <c r="A54" s="160" t="s">
        <v>237</v>
      </c>
      <c r="B54" s="160" t="s">
        <v>245</v>
      </c>
      <c r="C54" s="158" t="s">
        <v>130</v>
      </c>
    </row>
    <row r="55" spans="1:3" x14ac:dyDescent="0.3">
      <c r="A55" s="160" t="s">
        <v>254</v>
      </c>
      <c r="B55" s="160" t="s">
        <v>245</v>
      </c>
      <c r="C55" s="158" t="s">
        <v>130</v>
      </c>
    </row>
    <row r="56" spans="1:3" x14ac:dyDescent="0.3">
      <c r="A56" s="160" t="s">
        <v>238</v>
      </c>
      <c r="B56" s="160" t="s">
        <v>249</v>
      </c>
      <c r="C56" s="158" t="s">
        <v>130</v>
      </c>
    </row>
    <row r="57" spans="1:3" x14ac:dyDescent="0.3">
      <c r="A57" s="160" t="s">
        <v>241</v>
      </c>
      <c r="B57" s="160" t="s">
        <v>244</v>
      </c>
      <c r="C57" s="158" t="s">
        <v>130</v>
      </c>
    </row>
    <row r="58" spans="1:3" x14ac:dyDescent="0.3">
      <c r="A58" s="160" t="s">
        <v>239</v>
      </c>
      <c r="B58" s="160" t="s">
        <v>246</v>
      </c>
      <c r="C58" s="158" t="s">
        <v>130</v>
      </c>
    </row>
  </sheetData>
  <sheetProtection formatCells="0" formatColumns="0" formatRows="0" insertColumns="0" insertRows="0" insertHyperlinks="0" deleteColumns="0" deleteRows="0" sort="0" autoFilter="0" pivotTables="0"/>
  <dataValidations count="3">
    <dataValidation type="list" allowBlank="1" showInputMessage="1" showErrorMessage="1" sqref="B9" xr:uid="{A4AA389A-7AFC-4E72-9C31-5226CD10A9FE}">
      <formula1>LISTA_CLIENTES</formula1>
    </dataValidation>
    <dataValidation type="list" allowBlank="1" showInputMessage="1" showErrorMessage="1" sqref="F45" xr:uid="{00EDECAA-A7EE-4271-AA48-50F2317261DF}">
      <formula1>$E$47:$E$57</formula1>
    </dataValidation>
    <dataValidation type="list" allowBlank="1" showInputMessage="1" showErrorMessage="1" sqref="C47:C58" xr:uid="{092D460C-1C7F-47CB-B0B7-09858C0E0415}">
      <formula1>LISTA_ESTADOS</formula1>
    </dataValidation>
  </dataValidations>
  <pageMargins left="0.511811024" right="0.511811024" top="0.78740157499999996" bottom="0.78740157499999996" header="0.31496062000000002" footer="0.31496062000000002"/>
  <pageSetup paperSize="9" scale="54" orientation="portrait" r:id="rId1"/>
  <drawing r:id="rId2"/>
  <tableParts count="4"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8C341D-062F-4331-B8C1-36269359BF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31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22</vt:i4>
      </vt:variant>
    </vt:vector>
  </HeadingPairs>
  <TitlesOfParts>
    <vt:vector size="29" baseType="lpstr">
      <vt:lpstr>SINTÉTICO</vt:lpstr>
      <vt:lpstr>CFF</vt:lpstr>
      <vt:lpstr>CFF (2)</vt:lpstr>
      <vt:lpstr>BDI</vt:lpstr>
      <vt:lpstr>ES</vt:lpstr>
      <vt:lpstr>CPUs</vt:lpstr>
      <vt:lpstr>AUXILIAR</vt:lpstr>
      <vt:lpstr>AUXILIAR!Area_de_impressao</vt:lpstr>
      <vt:lpstr>BDI!Area_de_impressao</vt:lpstr>
      <vt:lpstr>CFF!Area_de_impressao</vt:lpstr>
      <vt:lpstr>'CFF (2)'!Area_de_impressao</vt:lpstr>
      <vt:lpstr>CPUs!Area_de_impressao</vt:lpstr>
      <vt:lpstr>ES!Area_de_impressao</vt:lpstr>
      <vt:lpstr>SINTÉTICO!Area_de_impressao</vt:lpstr>
      <vt:lpstr>BDI</vt:lpstr>
      <vt:lpstr>CLIENTE</vt:lpstr>
      <vt:lpstr>DESCONTO</vt:lpstr>
      <vt:lpstr>LISTA_CLIENTES</vt:lpstr>
      <vt:lpstr>LISTA_ESTADOS</vt:lpstr>
      <vt:lpstr>LOCALEDATA</vt:lpstr>
      <vt:lpstr>CFF!Titulos_de_impressao</vt:lpstr>
      <vt:lpstr>'CFF (2)'!Titulos_de_impressao</vt:lpstr>
      <vt:lpstr>CPUs!Titulos_de_impressao</vt:lpstr>
      <vt:lpstr>SINTÉTICO!Titulos_de_impressao</vt:lpstr>
      <vt:lpstr>TOTALBDI</vt:lpstr>
      <vt:lpstr>TOTALGERAL</vt:lpstr>
      <vt:lpstr>TOTALSEMBDI</vt:lpstr>
      <vt:lpstr>ÚLTIMALINCPUs</vt:lpstr>
      <vt:lpstr>ÚLTIMALINSINTÉTICO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axlsx</dc:creator>
  <dc:description/>
  <cp:lastModifiedBy>Anderson Serrado</cp:lastModifiedBy>
  <cp:revision>1</cp:revision>
  <cp:lastPrinted>2025-09-16T16:07:40Z</cp:lastPrinted>
  <dcterms:created xsi:type="dcterms:W3CDTF">2024-07-22T15:06:38Z</dcterms:created>
  <dcterms:modified xsi:type="dcterms:W3CDTF">2026-02-12T22:30:27Z</dcterms:modified>
  <dc:language>pt-BR</dc:language>
</cp:coreProperties>
</file>